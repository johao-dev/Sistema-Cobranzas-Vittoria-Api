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xl/theme/theme1.xml" ContentType="application/vnd.openxmlformats-officedocument.theme+xml"/>
  <Override PartName="/xl/tables/table1.xml" ContentType="application/vnd.openxmlformats-officedocument.spreadsheetml.table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Carga masiva" sheetId="1" state="visible" r:id="rId1"/>
    <sheet name="Instrucciones" sheetId="2" state="visible" r:id="rId2"/>
    <sheet name="Ejemplos" sheetId="3" state="visible" r:id="rId3"/>
    <sheet name="Catalogos" sheetId="4" state="visible" r:id="rId4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<sst xmlns="http://schemas.openxmlformats.org/spreadsheetml/2006/main" count="138" uniqueCount="138">
  <si>
    <t xml:space="preserve">Plantilla de carga masiva de gastos directos</t>
  </si>
  <si>
    <t xml:space="preserve">Complete una fila por gasto. No cambie los encabezados. Las columnas amarillas son editables.</t>
  </si>
  <si>
    <t>Registro</t>
  </si>
  <si>
    <t xml:space="preserve">Categoría código</t>
  </si>
  <si>
    <t xml:space="preserve">Centro de costo</t>
  </si>
  <si>
    <t>Partida</t>
  </si>
  <si>
    <t>Fecha</t>
  </si>
  <si>
    <t>Concepto</t>
  </si>
  <si>
    <t>Proveedor</t>
  </si>
  <si>
    <t>Descripción</t>
  </si>
  <si>
    <t>Monto</t>
  </si>
  <si>
    <t xml:space="preserve">Moneda factura</t>
  </si>
  <si>
    <t xml:space="preserve">Monto factura</t>
  </si>
  <si>
    <t xml:space="preserve">Tipo de cambio</t>
  </si>
  <si>
    <t xml:space="preserve">Fecha tipo cambio</t>
  </si>
  <si>
    <t>Factura(s)</t>
  </si>
  <si>
    <t xml:space="preserve">Estado de fila</t>
  </si>
  <si>
    <t xml:space="preserve">Observaciones de validación</t>
  </si>
  <si>
    <t xml:space="preserve">Cómo usar la plantilla</t>
  </si>
  <si>
    <t xml:space="preserve">La hoja de carga usa los campos funcionales del ERP y deja los identificadores técnicos al proceso de importación.</t>
  </si>
  <si>
    <t>Pasos</t>
  </si>
  <si>
    <t xml:space="preserve">Seleccione el código de categoría.</t>
  </si>
  <si>
    <t xml:space="preserve">Escriba centro de costo, partida y proveedor tal como aparecen en el ERP.</t>
  </si>
  <si>
    <t xml:space="preserve">Complete fecha, concepto, descripción y monto contable.</t>
  </si>
  <si>
    <t xml:space="preserve">Si la factura está en dólares, complete los cuatro campos de moneda extranjera.</t>
  </si>
  <si>
    <t xml:space="preserve">Importe solo las filas cuyo Estado de fila sea LISTO.</t>
  </si>
  <si>
    <t xml:space="preserve">Reglas de carga</t>
  </si>
  <si>
    <t>Regla</t>
  </si>
  <si>
    <t>Detalle</t>
  </si>
  <si>
    <t xml:space="preserve">Una fila por gasto</t>
  </si>
  <si>
    <t xml:space="preserve">No agrupe varios gastos en una sola fila.</t>
  </si>
  <si>
    <t>Fechas</t>
  </si>
  <si>
    <t xml:space="preserve">Use fechas reales de Excel; el formato visible es dd/mm/aaaa.</t>
  </si>
  <si>
    <t xml:space="preserve">Debe ser mayor que cero y corresponder al monto contable que guardará el ERP.</t>
  </si>
  <si>
    <t xml:space="preserve">Moneda extranjera</t>
  </si>
  <si>
    <t xml:space="preserve">Moneda factura, monto factura, tipo de cambio y fecha TC se completan juntos.</t>
  </si>
  <si>
    <t xml:space="preserve">Campos opcionales</t>
  </si>
  <si>
    <t xml:space="preserve">Descripción y Factura(s) pueden quedar en blanco.</t>
  </si>
  <si>
    <t>Estructura</t>
  </si>
  <si>
    <t xml:space="preserve">No cambie nombres, orden ni cantidad de columnas en Carga masiva.</t>
  </si>
  <si>
    <t xml:space="preserve">Correspondencia con contable.GastoDirecto</t>
  </si>
  <si>
    <t xml:space="preserve">Campo de base de datos</t>
  </si>
  <si>
    <t>Origen</t>
  </si>
  <si>
    <t>Tratamiento</t>
  </si>
  <si>
    <t xml:space="preserve">Se escribe en Excel</t>
  </si>
  <si>
    <t>IdGastoDirecto</t>
  </si>
  <si>
    <t>Sistema</t>
  </si>
  <si>
    <t xml:space="preserve">Se genera al insertar</t>
  </si>
  <si>
    <t>No</t>
  </si>
  <si>
    <t>IdPresupuestoDetalle</t>
  </si>
  <si>
    <t xml:space="preserve">Centro de costo + Partida</t>
  </si>
  <si>
    <t xml:space="preserve">El importador resuelve la FK</t>
  </si>
  <si>
    <t>Indirecto</t>
  </si>
  <si>
    <t>IdProveedor</t>
  </si>
  <si>
    <t>IdMoneda</t>
  </si>
  <si>
    <t xml:space="preserve">Configuración del gasto</t>
  </si>
  <si>
    <t xml:space="preserve">No directo</t>
  </si>
  <si>
    <t xml:space="preserve">Carga directa</t>
  </si>
  <si>
    <t>Sí</t>
  </si>
  <si>
    <t>Descripcion</t>
  </si>
  <si>
    <t xml:space="preserve">Sí, opcional</t>
  </si>
  <si>
    <t xml:space="preserve">Estado / auditoría</t>
  </si>
  <si>
    <t xml:space="preserve">Estado y fechas se generan en el ERP</t>
  </si>
  <si>
    <t xml:space="preserve">IdMonedaOriginal / MontoOriginal</t>
  </si>
  <si>
    <t xml:space="preserve">Moneda factura / Monto factura</t>
  </si>
  <si>
    <t xml:space="preserve">Se usan solo para moneda extranjera</t>
  </si>
  <si>
    <t>Condicional</t>
  </si>
  <si>
    <t xml:space="preserve">TipoCambio / FechaTipoCambio</t>
  </si>
  <si>
    <t xml:space="preserve">Tipo de cambio / Fecha tipo cambio</t>
  </si>
  <si>
    <t xml:space="preserve">Carga directa si hay moneda extranjera</t>
  </si>
  <si>
    <t>IdCategoriaGasto</t>
  </si>
  <si>
    <t xml:space="preserve">Se resuelve usando Catalogos</t>
  </si>
  <si>
    <t xml:space="preserve">Alcance pendiente de definir en el importador</t>
  </si>
  <si>
    <t>Proveedores</t>
  </si>
  <si>
    <t xml:space="preserve">Definir si se buscarán por nombre, RUC/documento o código interno.</t>
  </si>
  <si>
    <t xml:space="preserve">Centros y partidas</t>
  </si>
  <si>
    <t xml:space="preserve">Definir el identificador único y validar que la partida pertenezca al centro de costo.</t>
  </si>
  <si>
    <t xml:space="preserve">La tabla GastoDirecto no contiene este dato; el importador debe gestionar la relación correspondiente.</t>
  </si>
  <si>
    <t xml:space="preserve">Ejemplos de llenado</t>
  </si>
  <si>
    <t xml:space="preserve">Estos registros son ilustrativos. No copie los datos sin reemplazarlos por información real.</t>
  </si>
  <si>
    <t xml:space="preserve">Resultado esperado</t>
  </si>
  <si>
    <t>ADMINISTRATIVO</t>
  </si>
  <si>
    <t xml:space="preserve">Administración general</t>
  </si>
  <si>
    <t xml:space="preserve">Servicios profesionales</t>
  </si>
  <si>
    <t xml:space="preserve">Honorarios contables - octubre</t>
  </si>
  <si>
    <t xml:space="preserve">Estudio Contable ABC</t>
  </si>
  <si>
    <t xml:space="preserve">Servicio mensual de contabilidad</t>
  </si>
  <si>
    <t>F001-245</t>
  </si>
  <si>
    <t>LISTO</t>
  </si>
  <si>
    <t>MARKETING_VENTAS</t>
  </si>
  <si>
    <t xml:space="preserve">Proyecto Talara 702</t>
  </si>
  <si>
    <t xml:space="preserve">Publicidad digital</t>
  </si>
  <si>
    <t xml:space="preserve">Campaña digital - octubre</t>
  </si>
  <si>
    <t xml:space="preserve">Proveedor de publicidad</t>
  </si>
  <si>
    <t xml:space="preserve">Factura emitida en dólares</t>
  </si>
  <si>
    <t>USD</t>
  </si>
  <si>
    <t>INV-10025</t>
  </si>
  <si>
    <t>TERRENO</t>
  </si>
  <si>
    <t xml:space="preserve">Proyecto Mayta Cápac 1248</t>
  </si>
  <si>
    <t xml:space="preserve">Estudios preliminares</t>
  </si>
  <si>
    <t xml:space="preserve">Levantamiento topográfico</t>
  </si>
  <si>
    <t xml:space="preserve">Topografía SAC</t>
  </si>
  <si>
    <t xml:space="preserve">Servicio para evaluación del terreno</t>
  </si>
  <si>
    <t xml:space="preserve">Catálogos para la carga masiva</t>
  </si>
  <si>
    <t xml:space="preserve">Estos códigos son los que debe usar la hoja Carga masiva.</t>
  </si>
  <si>
    <t xml:space="preserve">Id categoría</t>
  </si>
  <si>
    <t>Código</t>
  </si>
  <si>
    <t>Nombre</t>
  </si>
  <si>
    <t xml:space="preserve">Módulo del ERP</t>
  </si>
  <si>
    <t xml:space="preserve">Código moneda</t>
  </si>
  <si>
    <t>Uso</t>
  </si>
  <si>
    <t>OTROS</t>
  </si>
  <si>
    <t xml:space="preserve">OTROS GASTOS</t>
  </si>
  <si>
    <t xml:space="preserve">Otros Gastos</t>
  </si>
  <si>
    <t xml:space="preserve">MARKETING Y VENTAS</t>
  </si>
  <si>
    <t xml:space="preserve">Marketing / Ventas</t>
  </si>
  <si>
    <t xml:space="preserve">Terreno - Anteproyecto - Proyecto</t>
  </si>
  <si>
    <t xml:space="preserve">Referencias que faltan incorporar</t>
  </si>
  <si>
    <t>ANTEPROYECTO</t>
  </si>
  <si>
    <t>Catálogo</t>
  </si>
  <si>
    <t xml:space="preserve">Identificador recomendado</t>
  </si>
  <si>
    <t xml:space="preserve">Uso en la plantilla</t>
  </si>
  <si>
    <t>Estado</t>
  </si>
  <si>
    <t>Observación</t>
  </si>
  <si>
    <t>PROYECTO</t>
  </si>
  <si>
    <t xml:space="preserve">Centros de costo</t>
  </si>
  <si>
    <t xml:space="preserve">Código único</t>
  </si>
  <si>
    <t>Pendiente</t>
  </si>
  <si>
    <t xml:space="preserve">Pegar aquí o integrar desde el ERP</t>
  </si>
  <si>
    <t xml:space="preserve">GASTOS ADMINISTRATIVOS</t>
  </si>
  <si>
    <t xml:space="preserve">Gastos administrativos</t>
  </si>
  <si>
    <t>Partidas</t>
  </si>
  <si>
    <t xml:space="preserve">Debe corresponder al centro de costo</t>
  </si>
  <si>
    <t>MUNICIPAL</t>
  </si>
  <si>
    <t xml:space="preserve">GASTOS MUNICIPALES</t>
  </si>
  <si>
    <t xml:space="preserve">Gastos municipales y distritales</t>
  </si>
  <si>
    <t xml:space="preserve">RUC / documento</t>
  </si>
  <si>
    <t xml:space="preserve">Evita ambigüedad por nombres repetidos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</si>
</sst>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0.0000"/>
  </numFmts>
  <fonts count="8">
    <font>
      <sz val="11.000000"/>
      <name val="Carlito"/>
    </font>
    <font>
      <sz val="10.000000"/>
      <color rgb="FF1F2937"/>
      <name val="Arial"/>
    </font>
    <font>
      <b/>
      <sz val="14.000000"/>
      <color rgb="FF17365D"/>
      <name val="Arial"/>
    </font>
    <font>
      <i/>
      <sz val="10.000000"/>
      <color rgb="FF5B6573"/>
      <name val="Arial"/>
    </font>
    <font>
      <b/>
      <sz val="10.000000"/>
      <color indexed="65"/>
      <name val="Arial"/>
    </font>
    <font>
      <b/>
      <sz val="10.000000"/>
      <color rgb="FF17365D"/>
      <name val="Arial"/>
    </font>
    <font>
      <b/>
      <sz val="10.000000"/>
      <color rgb="FF1F2937"/>
      <name val="Arial"/>
    </font>
    <font>
      <b/>
      <sz val="10.000000"/>
      <color rgb="FF217346"/>
      <name val="Arial"/>
    </font>
  </fonts>
  <fills count="9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3F4F6"/>
      </patternFill>
    </fill>
    <fill>
      <patternFill patternType="solid">
        <fgColor rgb="FFFFF8E5"/>
      </patternFill>
    </fill>
    <fill>
      <patternFill patternType="solid">
        <fgColor rgb="FFD9EAF7"/>
      </patternFill>
    </fill>
    <fill>
      <patternFill patternType="solid">
        <fgColor rgb="FFFFE699"/>
      </patternFill>
    </fill>
    <fill>
      <patternFill patternType="solid">
        <fgColor rgb="FFE2F0D9"/>
      </patternFill>
    </fill>
    <fill>
      <patternFill patternType="solid">
        <fgColor rgb="FFE7E6E6"/>
      </patternFill>
    </fill>
  </fills>
  <borders count="26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>
        <color rgb="FF1F4E78"/>
      </bottom>
      <diagonal style="none"/>
    </border>
    <border>
      <left style="none"/>
      <right style="thin">
        <color indexed="65"/>
      </right>
      <top style="none"/>
      <bottom style="medium">
        <color rgb="FF17365D"/>
      </bottom>
      <diagonal style="none"/>
    </border>
    <border>
      <left style="thin">
        <color indexed="65"/>
      </left>
      <right style="thin">
        <color indexed="65"/>
      </right>
      <top style="none"/>
      <bottom style="medium">
        <color rgb="FF17365D"/>
      </bottom>
      <diagonal style="none"/>
    </border>
    <border>
      <left style="thin">
        <color indexed="65"/>
      </left>
      <right style="none"/>
      <top style="none"/>
      <bottom style="medium">
        <color rgb="FF17365D"/>
      </bottom>
      <diagonal style="none"/>
    </border>
    <border>
      <left style="none"/>
      <right style="none"/>
      <top style="none"/>
      <bottom style="thin">
        <color rgb="FFE5E7EB"/>
      </bottom>
      <diagonal style="none"/>
    </border>
    <border>
      <left style="none"/>
      <right style="none"/>
      <top style="thin">
        <color rgb="FFE5E7EB"/>
      </top>
      <bottom style="thin">
        <color rgb="FFE5E7EB"/>
      </bottom>
      <diagonal style="none"/>
    </border>
    <border>
      <left style="none"/>
      <right style="none"/>
      <top style="thin">
        <color rgb="FFE5E7EB"/>
      </top>
      <bottom style="none"/>
      <diagonal style="none"/>
    </border>
    <border>
      <left style="none"/>
      <right style="none"/>
      <top style="thin">
        <color rgb="FFE5E7EB"/>
      </top>
      <bottom style="thin">
        <color rgb="FFB8C2CC"/>
      </bottom>
      <diagonal style="none"/>
    </border>
    <border>
      <left style="thin">
        <color rgb="FF17365D"/>
      </left>
      <right style="none"/>
      <top style="thin">
        <color rgb="FF17365D"/>
      </top>
      <bottom style="thin">
        <color rgb="FF17365D"/>
      </bottom>
      <diagonal style="none"/>
    </border>
    <border>
      <left style="none"/>
      <right style="none"/>
      <top style="thin">
        <color rgb="FF17365D"/>
      </top>
      <bottom style="thin">
        <color rgb="FF17365D"/>
      </bottom>
      <diagonal style="none"/>
    </border>
    <border>
      <left style="none"/>
      <right style="thin">
        <color rgb="FF17365D"/>
      </right>
      <top style="thin">
        <color rgb="FF17365D"/>
      </top>
      <bottom style="thin">
        <color rgb="FF17365D"/>
      </bottom>
      <diagonal style="none"/>
    </border>
    <border>
      <left style="none"/>
      <right style="none"/>
      <top style="none"/>
      <bottom style="thin">
        <color rgb="FFD9E2F3"/>
      </bottom>
      <diagonal style="none"/>
    </border>
    <border>
      <left style="thin">
        <color rgb="FFB8C2CC"/>
      </left>
      <right style="none"/>
      <top style="thin">
        <color rgb="FFB8C2CC"/>
      </top>
      <bottom style="thin">
        <color rgb="FFB8C2CC"/>
      </bottom>
      <diagonal style="none"/>
    </border>
    <border>
      <left style="none"/>
      <right style="thin">
        <color rgb="FFB8C2CC"/>
      </right>
      <top style="thin">
        <color rgb="FFB8C2CC"/>
      </top>
      <bottom style="thin">
        <color rgb="FFB8C2CC"/>
      </bottom>
      <diagonal style="none"/>
    </border>
    <border>
      <left style="none"/>
      <right style="none"/>
      <top style="thin">
        <color rgb="FFD9E2F3"/>
      </top>
      <bottom style="thin">
        <color rgb="FFD9E2F3"/>
      </bottom>
      <diagonal style="none"/>
    </border>
    <border>
      <left style="thin">
        <color rgb="FFB8C2CC"/>
      </left>
      <right style="none"/>
      <top style="thin">
        <color rgb="FFB8C2CC"/>
      </top>
      <bottom style="none"/>
      <diagonal style="none"/>
    </border>
    <border>
      <left style="none"/>
      <right style="none"/>
      <top style="thin">
        <color rgb="FFB8C2CC"/>
      </top>
      <bottom style="none"/>
      <diagonal style="none"/>
    </border>
    <border>
      <left style="none"/>
      <right style="thin">
        <color rgb="FFB8C2CC"/>
      </right>
      <top style="thin">
        <color rgb="FFB8C2CC"/>
      </top>
      <bottom style="none"/>
      <diagonal style="none"/>
    </border>
    <border>
      <left style="thin">
        <color rgb="FFB8C2CC"/>
      </left>
      <right style="none"/>
      <top style="none"/>
      <bottom style="thin">
        <color rgb="FFE5E7EB"/>
      </bottom>
      <diagonal style="none"/>
    </border>
    <border>
      <left style="none"/>
      <right style="thin">
        <color rgb="FFB8C2CC"/>
      </right>
      <top style="none"/>
      <bottom style="thin">
        <color rgb="FFE5E7EB"/>
      </bottom>
      <diagonal style="none"/>
    </border>
    <border>
      <left style="thin">
        <color rgb="FFB8C2CC"/>
      </left>
      <right style="none"/>
      <top style="thin">
        <color rgb="FFE5E7EB"/>
      </top>
      <bottom style="thin">
        <color rgb="FFE5E7EB"/>
      </bottom>
      <diagonal style="none"/>
    </border>
    <border>
      <left style="none"/>
      <right style="thin">
        <color rgb="FFB8C2CC"/>
      </right>
      <top style="thin">
        <color rgb="FFE5E7EB"/>
      </top>
      <bottom style="thin">
        <color rgb="FFE5E7EB"/>
      </bottom>
      <diagonal style="none"/>
    </border>
    <border>
      <left style="none"/>
      <right style="none"/>
      <top style="thin">
        <color rgb="FFD9E2F3"/>
      </top>
      <bottom style="thin">
        <color rgb="FFB8C2CC"/>
      </bottom>
      <diagonal style="none"/>
    </border>
    <border>
      <left style="thin">
        <color rgb="FFB8C2CC"/>
      </left>
      <right style="none"/>
      <top style="thin">
        <color rgb="FFE5E7EB"/>
      </top>
      <bottom style="thin">
        <color rgb="FFB8C2CC"/>
      </bottom>
      <diagonal style="none"/>
    </border>
    <border>
      <left style="none"/>
      <right style="thin">
        <color rgb="FFB8C2CC"/>
      </right>
      <top style="thin">
        <color rgb="FFE5E7EB"/>
      </top>
      <bottom style="thin">
        <color rgb="FFB8C2CC"/>
      </bottom>
      <diagonal style="none"/>
    </border>
  </borders>
  <cellStyleXfs count="2">
    <xf fontId="0" fillId="0" borderId="0" numFmtId="0" applyNumberFormat="1" applyFont="1" applyFill="1" applyBorder="1"/>
    <xf fontId="0" fillId="0" borderId="0" numFmtId="0" applyNumberFormat="1" applyFont="1" applyFill="1" applyBorder="1"/>
  </cellStyleXfs>
  <cellXfs count="83">
    <xf fontId="0" fillId="0" borderId="0" numFmtId="0" xfId="0"/>
    <xf fontId="1" fillId="0" borderId="0" numFmtId="0" xfId="0" applyFont="1" applyAlignment="1">
      <alignment vertical="center"/>
    </xf>
    <xf fontId="2" fillId="0" borderId="0" numFmtId="0" xfId="0" applyFont="1" applyAlignment="1">
      <alignment vertical="center"/>
    </xf>
    <xf fontId="3" fillId="0" borderId="0" numFmtId="0" xfId="0" applyFont="1" applyAlignment="1">
      <alignment vertical="center"/>
    </xf>
    <xf fontId="1" fillId="0" borderId="1" numFmtId="0" xfId="0" applyFont="1" applyBorder="1" applyAlignment="1">
      <alignment vertical="center"/>
    </xf>
    <xf fontId="4" fillId="2" borderId="2" numFmtId="0" xfId="0" applyFont="1" applyFill="1" applyBorder="1" applyAlignment="1">
      <alignment horizontal="center" vertical="center" wrapText="1"/>
    </xf>
    <xf fontId="4" fillId="2" borderId="3" numFmtId="0" xfId="0" applyFont="1" applyFill="1" applyBorder="1" applyAlignment="1">
      <alignment horizontal="center" vertical="center" wrapText="1"/>
    </xf>
    <xf fontId="4" fillId="2" borderId="4" numFmtId="0" xfId="0" applyFont="1" applyFill="1" applyBorder="1" applyAlignment="1">
      <alignment horizontal="center" vertical="center" wrapText="1"/>
    </xf>
    <xf fontId="1" fillId="3" borderId="5" numFmtId="1" xfId="0" applyNumberFormat="1" applyFont="1" applyFill="1" applyBorder="1" applyAlignment="1">
      <alignment vertical="center"/>
    </xf>
    <xf fontId="1" fillId="4" borderId="5" numFmtId="0" xfId="0" applyFont="1" applyFill="1" applyBorder="1" applyAlignment="1">
      <alignment vertical="center"/>
    </xf>
    <xf fontId="1" fillId="4" borderId="5" numFmtId="164" xfId="0" applyNumberFormat="1" applyFont="1" applyFill="1" applyBorder="1" applyAlignment="1">
      <alignment horizontal="center" vertical="center"/>
    </xf>
    <xf fontId="1" fillId="4" borderId="5" numFmtId="0" xfId="0" applyFont="1" applyFill="1" applyBorder="1" applyAlignment="1">
      <alignment vertical="center" wrapText="1"/>
    </xf>
    <xf fontId="1" fillId="4" borderId="5" numFmtId="4" xfId="0" applyNumberFormat="1" applyFont="1" applyFill="1" applyBorder="1" applyAlignment="1">
      <alignment vertical="center"/>
    </xf>
    <xf fontId="1" fillId="4" borderId="5" numFmtId="0" xfId="0" applyFont="1" applyFill="1" applyBorder="1" applyAlignment="1">
      <alignment horizontal="center" vertical="center"/>
    </xf>
    <xf fontId="1" fillId="4" borderId="5" numFmtId="165" xfId="0" applyNumberFormat="1" applyFont="1" applyFill="1" applyBorder="1" applyAlignment="1">
      <alignment vertical="center"/>
    </xf>
    <xf fontId="1" fillId="3" borderId="5" numFmtId="0" xfId="0" applyFont="1" applyFill="1" applyBorder="1" applyAlignment="1">
      <alignment horizontal="center" vertical="center"/>
    </xf>
    <xf fontId="1" fillId="3" borderId="5" numFmtId="0" xfId="0" applyFont="1" applyFill="1" applyBorder="1" applyAlignment="1">
      <alignment vertical="center" wrapText="1"/>
    </xf>
    <xf fontId="1" fillId="3" borderId="6" numFmtId="1" xfId="0" applyNumberFormat="1" applyFont="1" applyFill="1" applyBorder="1" applyAlignment="1">
      <alignment vertical="center"/>
    </xf>
    <xf fontId="1" fillId="4" borderId="6" numFmtId="0" xfId="0" applyFont="1" applyFill="1" applyBorder="1" applyAlignment="1">
      <alignment vertical="center"/>
    </xf>
    <xf fontId="1" fillId="4" borderId="6" numFmtId="164" xfId="0" applyNumberFormat="1" applyFont="1" applyFill="1" applyBorder="1" applyAlignment="1">
      <alignment horizontal="center" vertical="center"/>
    </xf>
    <xf fontId="1" fillId="4" borderId="6" numFmtId="0" xfId="0" applyFont="1" applyFill="1" applyBorder="1" applyAlignment="1">
      <alignment vertical="center" wrapText="1"/>
    </xf>
    <xf fontId="1" fillId="4" borderId="6" numFmtId="4" xfId="0" applyNumberFormat="1" applyFont="1" applyFill="1" applyBorder="1" applyAlignment="1">
      <alignment vertical="center"/>
    </xf>
    <xf fontId="1" fillId="4" borderId="6" numFmtId="0" xfId="0" applyFont="1" applyFill="1" applyBorder="1" applyAlignment="1">
      <alignment horizontal="center" vertical="center"/>
    </xf>
    <xf fontId="1" fillId="4" borderId="6" numFmtId="165" xfId="0" applyNumberFormat="1" applyFont="1" applyFill="1" applyBorder="1" applyAlignment="1">
      <alignment vertical="center"/>
    </xf>
    <xf fontId="1" fillId="3" borderId="6" numFmtId="0" xfId="0" applyFont="1" applyFill="1" applyBorder="1" applyAlignment="1">
      <alignment horizontal="center" vertical="center"/>
    </xf>
    <xf fontId="1" fillId="3" borderId="6" numFmtId="0" xfId="0" applyFont="1" applyFill="1" applyBorder="1" applyAlignment="1">
      <alignment vertical="center" wrapText="1"/>
    </xf>
    <xf fontId="1" fillId="3" borderId="7" numFmtId="1" xfId="0" applyNumberFormat="1" applyFont="1" applyFill="1" applyBorder="1" applyAlignment="1">
      <alignment vertical="center"/>
    </xf>
    <xf fontId="1" fillId="4" borderId="7" numFmtId="0" xfId="0" applyFont="1" applyFill="1" applyBorder="1" applyAlignment="1">
      <alignment vertical="center"/>
    </xf>
    <xf fontId="1" fillId="4" borderId="7" numFmtId="164" xfId="0" applyNumberFormat="1" applyFont="1" applyFill="1" applyBorder="1" applyAlignment="1">
      <alignment horizontal="center" vertical="center"/>
    </xf>
    <xf fontId="1" fillId="4" borderId="7" numFmtId="0" xfId="0" applyFont="1" applyFill="1" applyBorder="1" applyAlignment="1">
      <alignment vertical="center" wrapText="1"/>
    </xf>
    <xf fontId="1" fillId="4" borderId="7" numFmtId="4" xfId="0" applyNumberFormat="1" applyFont="1" applyFill="1" applyBorder="1" applyAlignment="1">
      <alignment vertical="center"/>
    </xf>
    <xf fontId="1" fillId="4" borderId="7" numFmtId="0" xfId="0" applyFont="1" applyFill="1" applyBorder="1" applyAlignment="1">
      <alignment horizontal="center" vertical="center"/>
    </xf>
    <xf fontId="1" fillId="4" borderId="7" numFmtId="165" xfId="0" applyNumberFormat="1" applyFont="1" applyFill="1" applyBorder="1" applyAlignment="1">
      <alignment vertical="center"/>
    </xf>
    <xf fontId="1" fillId="3" borderId="7" numFmtId="0" xfId="0" applyFont="1" applyFill="1" applyBorder="1" applyAlignment="1">
      <alignment horizontal="center" vertical="center"/>
    </xf>
    <xf fontId="1" fillId="3" borderId="7" numFmtId="0" xfId="0" applyFont="1" applyFill="1" applyBorder="1" applyAlignment="1">
      <alignment vertical="center" wrapText="1"/>
    </xf>
    <xf fontId="5" fillId="5" borderId="0" numFmtId="0" xfId="0" applyFont="1" applyFill="1" applyAlignment="1">
      <alignment vertical="center"/>
    </xf>
    <xf fontId="5" fillId="3" borderId="5" numFmtId="0" xfId="0" applyFont="1" applyFill="1" applyBorder="1" applyAlignment="1">
      <alignment horizontal="center" vertical="center"/>
    </xf>
    <xf fontId="1" fillId="0" borderId="5" numFmtId="0" xfId="0" applyFont="1" applyBorder="1" applyAlignment="1">
      <alignment vertical="center" wrapText="1"/>
    </xf>
    <xf fontId="5" fillId="3" borderId="6" numFmtId="0" xfId="0" applyFont="1" applyFill="1" applyBorder="1" applyAlignment="1">
      <alignment horizontal="center" vertical="center"/>
    </xf>
    <xf fontId="1" fillId="0" borderId="6" numFmtId="0" xfId="0" applyFont="1" applyBorder="1" applyAlignment="1">
      <alignment vertical="center" wrapText="1"/>
    </xf>
    <xf fontId="5" fillId="3" borderId="7" numFmtId="0" xfId="0" applyFont="1" applyFill="1" applyBorder="1" applyAlignment="1">
      <alignment horizontal="center" vertical="center"/>
    </xf>
    <xf fontId="1" fillId="0" borderId="7" numFmtId="0" xfId="0" applyFont="1" applyBorder="1" applyAlignment="1">
      <alignment vertical="center" wrapText="1"/>
    </xf>
    <xf fontId="4" fillId="2" borderId="5" numFmtId="0" xfId="0" applyFont="1" applyFill="1" applyBorder="1" applyAlignment="1">
      <alignment horizontal="center" vertical="center"/>
    </xf>
    <xf fontId="4" fillId="2" borderId="5" numFmtId="0" xfId="0" applyFont="1" applyFill="1" applyBorder="1" applyAlignment="1">
      <alignment horizontal="center" vertical="center" wrapText="1"/>
    </xf>
    <xf fontId="6" fillId="0" borderId="6" numFmtId="0" xfId="0" applyFont="1" applyBorder="1" applyAlignment="1">
      <alignment vertical="center"/>
    </xf>
    <xf fontId="6" fillId="0" borderId="8" numFmtId="0" xfId="0" applyFont="1" applyBorder="1" applyAlignment="1">
      <alignment vertical="center"/>
    </xf>
    <xf fontId="1" fillId="0" borderId="8" numFmtId="0" xfId="0" applyFont="1" applyBorder="1" applyAlignment="1">
      <alignment vertical="center" wrapText="1"/>
    </xf>
    <xf fontId="4" fillId="2" borderId="0" numFmtId="0" xfId="0" applyFont="1" applyFill="1" applyAlignment="1">
      <alignment horizontal="center" vertical="center" wrapText="1"/>
    </xf>
    <xf fontId="6" fillId="6" borderId="0" numFmtId="0" xfId="0" applyFont="1" applyFill="1" applyAlignment="1">
      <alignment vertical="center"/>
    </xf>
    <xf fontId="6" fillId="0" borderId="5" numFmtId="0" xfId="0" applyFont="1" applyBorder="1" applyAlignment="1">
      <alignment vertical="center"/>
    </xf>
    <xf fontId="6" fillId="0" borderId="7" numFmtId="0" xfId="0" applyFont="1" applyBorder="1" applyAlignment="1">
      <alignment vertical="center"/>
    </xf>
    <xf fontId="1" fillId="4" borderId="5" numFmtId="164" xfId="0" applyNumberFormat="1" applyFont="1" applyFill="1" applyBorder="1" applyAlignment="1">
      <alignment vertical="center"/>
    </xf>
    <xf fontId="7" fillId="7" borderId="5" numFmtId="0" xfId="0" applyFont="1" applyFill="1" applyBorder="1" applyAlignment="1">
      <alignment horizontal="center" vertical="center"/>
    </xf>
    <xf fontId="1" fillId="4" borderId="6" numFmtId="164" xfId="0" applyNumberFormat="1" applyFont="1" applyFill="1" applyBorder="1" applyAlignment="1">
      <alignment vertical="center"/>
    </xf>
    <xf fontId="7" fillId="7" borderId="6" numFmtId="0" xfId="0" applyFont="1" applyFill="1" applyBorder="1" applyAlignment="1">
      <alignment horizontal="center" vertical="center"/>
    </xf>
    <xf fontId="1" fillId="4" borderId="8" numFmtId="0" xfId="0" applyFont="1" applyFill="1" applyBorder="1" applyAlignment="1">
      <alignment vertical="center"/>
    </xf>
    <xf fontId="1" fillId="4" borderId="8" numFmtId="164" xfId="0" applyNumberFormat="1" applyFont="1" applyFill="1" applyBorder="1" applyAlignment="1">
      <alignment vertical="center"/>
    </xf>
    <xf fontId="1" fillId="4" borderId="8" numFmtId="4" xfId="0" applyNumberFormat="1" applyFont="1" applyFill="1" applyBorder="1" applyAlignment="1">
      <alignment vertical="center"/>
    </xf>
    <xf fontId="1" fillId="4" borderId="8" numFmtId="165" xfId="0" applyNumberFormat="1" applyFont="1" applyFill="1" applyBorder="1" applyAlignment="1">
      <alignment vertical="center"/>
    </xf>
    <xf fontId="7" fillId="7" borderId="8" numFmtId="0" xfId="0" applyFont="1" applyFill="1" applyBorder="1" applyAlignment="1">
      <alignment horizontal="center" vertical="center"/>
    </xf>
    <xf fontId="4" fillId="2" borderId="9" numFmtId="0" xfId="0" applyFont="1" applyFill="1" applyBorder="1" applyAlignment="1">
      <alignment horizontal="center" vertical="center"/>
    </xf>
    <xf fontId="4" fillId="2" borderId="10" numFmtId="0" xfId="0" applyFont="1" applyFill="1" applyBorder="1" applyAlignment="1">
      <alignment horizontal="center" vertical="center"/>
    </xf>
    <xf fontId="4" fillId="2" borderId="11" numFmtId="0" xfId="0" applyFont="1" applyFill="1" applyBorder="1" applyAlignment="1">
      <alignment horizontal="center" vertical="center"/>
    </xf>
    <xf fontId="1" fillId="0" borderId="12" numFmtId="1" xfId="0" applyNumberFormat="1" applyFont="1" applyBorder="1" applyAlignment="1">
      <alignment vertical="center"/>
    </xf>
    <xf fontId="1" fillId="0" borderId="12" numFmtId="0" xfId="0" applyFont="1" applyBorder="1" applyAlignment="1">
      <alignment vertical="center"/>
    </xf>
    <xf fontId="1" fillId="0" borderId="13" numFmtId="0" xfId="0" applyFont="1" applyBorder="1" applyAlignment="1">
      <alignment vertical="center"/>
    </xf>
    <xf fontId="1" fillId="0" borderId="14" numFmtId="0" xfId="0" applyFont="1" applyBorder="1" applyAlignment="1">
      <alignment vertical="center"/>
    </xf>
    <xf fontId="1" fillId="0" borderId="15" numFmtId="1" xfId="0" applyNumberFormat="1" applyFont="1" applyBorder="1" applyAlignment="1">
      <alignment vertical="center"/>
    </xf>
    <xf fontId="1" fillId="0" borderId="15" numFmtId="0" xfId="0" applyFont="1" applyBorder="1" applyAlignment="1">
      <alignment vertical="center"/>
    </xf>
    <xf fontId="6" fillId="8" borderId="16" numFmtId="0" xfId="0" applyFont="1" applyFill="1" applyBorder="1" applyAlignment="1">
      <alignment horizontal="center" vertical="center"/>
    </xf>
    <xf fontId="6" fillId="8" borderId="17" numFmtId="0" xfId="0" applyFont="1" applyFill="1" applyBorder="1" applyAlignment="1">
      <alignment horizontal="center" vertical="center"/>
    </xf>
    <xf fontId="6" fillId="8" borderId="18" numFmtId="0" xfId="0" applyFont="1" applyFill="1" applyBorder="1" applyAlignment="1">
      <alignment horizontal="center" vertical="center"/>
    </xf>
    <xf fontId="1" fillId="0" borderId="19" numFmtId="0" xfId="0" applyFont="1" applyBorder="1" applyAlignment="1">
      <alignment vertical="center"/>
    </xf>
    <xf fontId="1" fillId="0" borderId="5" numFmtId="0" xfId="0" applyFont="1" applyBorder="1" applyAlignment="1">
      <alignment vertical="center"/>
    </xf>
    <xf fontId="1" fillId="0" borderId="20" numFmtId="0" xfId="0" applyFont="1" applyBorder="1" applyAlignment="1">
      <alignment vertical="center"/>
    </xf>
    <xf fontId="1" fillId="0" borderId="21" numFmtId="0" xfId="0" applyFont="1" applyBorder="1" applyAlignment="1">
      <alignment vertical="center"/>
    </xf>
    <xf fontId="1" fillId="0" borderId="6" numFmtId="0" xfId="0" applyFont="1" applyBorder="1" applyAlignment="1">
      <alignment vertical="center"/>
    </xf>
    <xf fontId="1" fillId="0" borderId="22" numFmtId="0" xfId="0" applyFont="1" applyBorder="1" applyAlignment="1">
      <alignment vertical="center"/>
    </xf>
    <xf fontId="1" fillId="0" borderId="23" numFmtId="1" xfId="0" applyNumberFormat="1" applyFont="1" applyBorder="1" applyAlignment="1">
      <alignment vertical="center"/>
    </xf>
    <xf fontId="1" fillId="0" borderId="23" numFmtId="0" xfId="0" applyFont="1" applyBorder="1" applyAlignment="1">
      <alignment vertical="center"/>
    </xf>
    <xf fontId="1" fillId="0" borderId="24" numFmtId="0" xfId="0" applyFont="1" applyBorder="1" applyAlignment="1">
      <alignment vertical="center"/>
    </xf>
    <xf fontId="1" fillId="0" borderId="8" numFmtId="0" xfId="0" applyFont="1" applyBorder="1" applyAlignment="1">
      <alignment vertical="center"/>
    </xf>
    <xf fontId="1" fillId="0" borderId="25" numFmtId="0" xfId="0" applyFont="1" applyBorder="1" applyAlignment="1">
      <alignment vertical="center"/>
    </xf>
  </cellXfs>
  <cellStyles count="2">
    <cellStyle name="Normal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theme" Target="theme/theme1.xml"/><Relationship  Id="rId6" Type="http://schemas.openxmlformats.org/officeDocument/2006/relationships/sharedStrings" Target="sharedStrings.xml"/><Relationship  Id="rId7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displayName="CargaGastosDirectos" ref="A5:P205" headerRowCount="1" totalsRowCount="0">
  <autoFilter ref="A5:P205"/>
  <tableColumns count="16">
    <tableColumn id="1" name="Registro"/>
    <tableColumn id="2" name="Categoría código"/>
    <tableColumn id="3" name="Centro de costo"/>
    <tableColumn id="4" name="Partida"/>
    <tableColumn id="5" name="Fecha"/>
    <tableColumn id="6" name="Concepto"/>
    <tableColumn id="7" name="Proveedor"/>
    <tableColumn id="8" name="Descripción"/>
    <tableColumn id="9" name="Monto"/>
    <tableColumn id="10" name="Moneda factura"/>
    <tableColumn id="11" name="Monto factura"/>
    <tableColumn id="12" name="Tipo de cambio"/>
    <tableColumn id="13" name="Fecha tipo cambio"/>
    <tableColumn id="14" name="Factura(s)"/>
    <tableColumn id="15" name="Estado de fila"/>
    <tableColumn id="16" name="Observaciones de validación"/>
  </tableColumns>
  <tableStyleInfo name="TableStyleMedium2" showFirstColumn="0" showLastColumn="0" showRowStripes="1" showColumnStripes="0"/>
</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rgb="FF17365D"/>
    <outlinePr applyStyles="0" summaryBelow="1" summaryRight="1" showOutlineSymbols="1"/>
    <pageSetUpPr autoPageBreaks="1" fitToPage="0"/>
  </sheetPr>
  <sheetViews>
    <sheetView showGridLines="0" zoomScale="100" workbookViewId="0">
      <pane xSplit="2" ySplit="5" topLeftCell="C6" activePane="bottomRight" state="frozen"/>
      <selection activeCell="A1" activeCellId="0" sqref="A1"/>
    </sheetView>
  </sheetViews>
  <sheetFormatPr defaultRowHeight="14.25"/>
  <cols>
    <col customWidth="1" min="1" max="1" width="10"/>
    <col customWidth="1" min="2" max="2" width="22"/>
    <col customWidth="1" min="3" max="3" width="28"/>
    <col customWidth="1" min="4" max="4" width="27"/>
    <col customWidth="1" min="5" max="5" width="13"/>
    <col customWidth="1" min="6" max="6" width="32"/>
    <col customWidth="1" min="7" max="7" width="28"/>
    <col customWidth="1" min="8" max="8" width="40"/>
    <col customWidth="1" min="9" max="9" width="14"/>
    <col customWidth="1" min="10" max="10" width="17"/>
    <col customWidth="1" min="11" max="12" width="16"/>
    <col customWidth="1" min="13" max="13" width="18"/>
    <col customWidth="1" min="14" max="14" width="20"/>
    <col customWidth="1" min="15" max="15" width="16"/>
    <col customWidth="1" min="16" max="16" width="50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ht="24" customHeight="1">
      <c r="A2" s="2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ht="20" customHeight="1">
      <c r="A3" s="3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ht="36" customHeight="1">
      <c r="A5" s="5" t="s">
        <v>2</v>
      </c>
      <c r="B5" s="6" t="s">
        <v>3</v>
      </c>
      <c r="C5" s="6" t="s">
        <v>4</v>
      </c>
      <c r="D5" s="6" t="s">
        <v>5</v>
      </c>
      <c r="E5" s="6" t="s">
        <v>6</v>
      </c>
      <c r="F5" s="6" t="s">
        <v>7</v>
      </c>
      <c r="G5" s="6" t="s">
        <v>8</v>
      </c>
      <c r="H5" s="6" t="s">
        <v>9</v>
      </c>
      <c r="I5" s="6" t="s">
        <v>10</v>
      </c>
      <c r="J5" s="6" t="s">
        <v>11</v>
      </c>
      <c r="K5" s="6" t="s">
        <v>12</v>
      </c>
      <c r="L5" s="6" t="s">
        <v>13</v>
      </c>
      <c r="M5" s="6" t="s">
        <v>14</v>
      </c>
      <c r="N5" s="6" t="s">
        <v>15</v>
      </c>
      <c r="O5" s="6" t="s">
        <v>16</v>
      </c>
      <c r="P5" s="7" t="s">
        <v>17</v>
      </c>
    </row>
    <row r="6" ht="22" customHeight="1">
      <c r="A6" s="8" t="str">
        <f t="shared" ref="A6:A9" si="0">IF(COUNTA(B6:N6)=0,"",ROW()-5)</f>
        <v/>
      </c>
      <c r="B6" s="9"/>
      <c r="C6" s="9"/>
      <c r="D6" s="9"/>
      <c r="E6" s="10"/>
      <c r="F6" s="9"/>
      <c r="G6" s="9"/>
      <c r="H6" s="11"/>
      <c r="I6" s="12"/>
      <c r="J6" s="13"/>
      <c r="K6" s="12"/>
      <c r="L6" s="14"/>
      <c r="M6" s="10"/>
      <c r="N6" s="9"/>
      <c r="O6" s="15" t="str">
        <f t="shared" ref="O6:O9" si="1">IF(COUNTA(B6:N6)=0,"",IF(P6="","LISTO","REVISAR"))</f>
        <v/>
      </c>
      <c r="P6" s="16" t="str">
        <f>IF(COUNTA(B6:N6)=0,"",TRIM(IF(B6="","Falta categoría. ","")&amp;IF(AND(B6&lt;&gt;"",COUNTIF(Catalogos!$B$6:$B$12,B6)=0),"Categoría inválida. ","")&amp;IF(C6="","Falta centro de costo. ","")&amp;IF(D6="","Falta partida. ","")&amp;IF(E6="","Falta fecha. ","")&amp;IF(F6="","Falta concepto. ","")&amp;IF(G6="","Falta proveedor. ","")&amp;IF(I6="","Falta monto. ","")&amp;IF(AND(I6&lt;&gt;"",I6&lt;=0),"Monto inválido. ","")&amp;IF(AND(COUNTA(J6:M6)&gt;0,OR(J6="",K6="",L6="",M6="")),"Completa los 4 campos de moneda extranjera. ","")&amp;IF(AND(J6&lt;&gt;"",COUNTIF(Catalogos!$F$6:$F$6,J6)=0),"Moneda de factura inválida. ","")&amp;IF(AND(K6&lt;&gt;"",K6&lt;=0),"Monto de factura inválido. ","")&amp;IF(AND(L6&lt;&gt;"",L6&lt;=0),"Tipo de cambio inválido. ","")))</f>
        <v/>
      </c>
    </row>
    <row r="7" ht="22" customHeight="1">
      <c r="A7" s="17" t="str">
        <f t="shared" si="0"/>
        <v/>
      </c>
      <c r="B7" s="18"/>
      <c r="C7" s="18"/>
      <c r="D7" s="18"/>
      <c r="E7" s="19"/>
      <c r="F7" s="18"/>
      <c r="G7" s="18"/>
      <c r="H7" s="20"/>
      <c r="I7" s="21"/>
      <c r="J7" s="22"/>
      <c r="K7" s="21"/>
      <c r="L7" s="23"/>
      <c r="M7" s="19"/>
      <c r="N7" s="18"/>
      <c r="O7" s="24" t="str">
        <f t="shared" si="1"/>
        <v/>
      </c>
      <c r="P7" s="25" t="str">
        <f>IF(COUNTA(B7:N7)=0,"",TRIM(IF(B7="","Falta categoría. ","")&amp;IF(AND(B7&lt;&gt;"",COUNTIF(Catalogos!$B$6:$B$12,B7)=0),"Categoría inválida. ","")&amp;IF(C7="","Falta centro de costo. ","")&amp;IF(D7="","Falta partida. ","")&amp;IF(E7="","Falta fecha. ","")&amp;IF(F7="","Falta concepto. ","")&amp;IF(G7="","Falta proveedor. ","")&amp;IF(I7="","Falta monto. ","")&amp;IF(AND(I7&lt;&gt;"",I7&lt;=0),"Monto inválido. ","")&amp;IF(AND(COUNTA(J7:M7)&gt;0,OR(J7="",K7="",L7="",M7="")),"Completa los 4 campos de moneda extranjera. ","")&amp;IF(AND(J7&lt;&gt;"",COUNTIF(Catalogos!$F$6,J7)=0),"Moneda de factura inválida. ","")&amp;IF(AND(K7&lt;&gt;"",K7&lt;=0),"Monto de factura inválido. ","")&amp;IF(AND(L7&lt;&gt;"",L7&lt;=0),"Tipo de cambio inválido. ","")))</f>
        <v/>
      </c>
    </row>
    <row r="8" ht="22" customHeight="1">
      <c r="A8" s="17" t="str">
        <f t="shared" si="0"/>
        <v/>
      </c>
      <c r="B8" s="18"/>
      <c r="C8" s="18"/>
      <c r="D8" s="18"/>
      <c r="E8" s="19"/>
      <c r="F8" s="18"/>
      <c r="G8" s="18"/>
      <c r="H8" s="20"/>
      <c r="I8" s="21"/>
      <c r="J8" s="22"/>
      <c r="K8" s="21"/>
      <c r="L8" s="23"/>
      <c r="M8" s="19"/>
      <c r="N8" s="18"/>
      <c r="O8" s="24" t="str">
        <f t="shared" si="1"/>
        <v/>
      </c>
      <c r="P8" s="25" t="str">
        <f>IF(COUNTA(B8:N8)=0,"",TRIM(IF(B8="","Falta categoría. ","")&amp;IF(AND(B8&lt;&gt;"",COUNTIF(Catalogos!$B$6:$B$12,B8)=0),"Categoría inválida. ","")&amp;IF(C8="","Falta centro de costo. ","")&amp;IF(D8="","Falta partida. ","")&amp;IF(E8="","Falta fecha. ","")&amp;IF(F8="","Falta concepto. ","")&amp;IF(G8="","Falta proveedor. ","")&amp;IF(I8="","Falta monto. ","")&amp;IF(AND(I8&lt;&gt;"",I8&lt;=0),"Monto inválido. ","")&amp;IF(AND(COUNTA(J8:M8)&gt;0,OR(J8="",K8="",L8="",M8="")),"Completa los 4 campos de moneda extranjera. ","")&amp;IF(AND(J8&lt;&gt;"",COUNTIF(Catalogos!$F$6,J8)=0),"Moneda de factura inválida. ","")&amp;IF(AND(K8&lt;&gt;"",K8&lt;=0),"Monto de factura inválido. ","")&amp;IF(AND(L8&lt;&gt;"",L8&lt;=0),"Tipo de cambio inválido. ","")))</f>
        <v/>
      </c>
    </row>
    <row r="9" ht="22" customHeight="1">
      <c r="A9" s="17" t="str">
        <f t="shared" si="0"/>
        <v/>
      </c>
      <c r="B9" s="18"/>
      <c r="C9" s="18"/>
      <c r="D9" s="18"/>
      <c r="E9" s="19"/>
      <c r="F9" s="18"/>
      <c r="G9" s="18"/>
      <c r="H9" s="20"/>
      <c r="I9" s="21"/>
      <c r="J9" s="22"/>
      <c r="K9" s="21"/>
      <c r="L9" s="23"/>
      <c r="M9" s="19"/>
      <c r="N9" s="18"/>
      <c r="O9" s="24" t="str">
        <f t="shared" si="1"/>
        <v/>
      </c>
      <c r="P9" s="25" t="str">
        <f>IF(COUNTA(B9:N9)=0,"",TRIM(IF(B9="","Falta categoría. ","")&amp;IF(AND(B9&lt;&gt;"",COUNTIF(Catalogos!$B$6:$B$12,B9)=0),"Categoría inválida. ","")&amp;IF(C9="","Falta centro de costo. ","")&amp;IF(D9="","Falta partida. ","")&amp;IF(E9="","Falta fecha. ","")&amp;IF(F9="","Falta concepto. ","")&amp;IF(G9="","Falta proveedor. ","")&amp;IF(I9="","Falta monto. ","")&amp;IF(AND(I9&lt;&gt;"",I9&lt;=0),"Monto inválido. ","")&amp;IF(AND(COUNTA(J9:M9)&gt;0,OR(J9="",K9="",L9="",M9="")),"Completa los 4 campos de moneda extranjera. ","")&amp;IF(AND(J9&lt;&gt;"",COUNTIF(Catalogos!$F$6,J9)=0),"Moneda de factura inválida. ","")&amp;IF(AND(K9&lt;&gt;"",K9&lt;=0),"Monto de factura inválido. ","")&amp;IF(AND(L9&lt;&gt;"",L9&lt;=0),"Tipo de cambio inválido. ","")))</f>
        <v/>
      </c>
    </row>
    <row r="10" ht="22" customHeight="1">
      <c r="A10" s="17" t="str">
        <f t="shared" ref="A10:A73" si="2">IF(COUNTA(B10:N10)=0,"",ROW()-5)</f>
        <v/>
      </c>
      <c r="B10" s="18"/>
      <c r="C10" s="18"/>
      <c r="D10" s="18"/>
      <c r="E10" s="19"/>
      <c r="F10" s="18"/>
      <c r="G10" s="18"/>
      <c r="H10" s="20"/>
      <c r="I10" s="21"/>
      <c r="J10" s="22"/>
      <c r="K10" s="21"/>
      <c r="L10" s="23"/>
      <c r="M10" s="19"/>
      <c r="N10" s="18"/>
      <c r="O10" s="24" t="str">
        <f t="shared" ref="O10:O73" si="3">IF(COUNTA(B10:N10)=0,"",IF(P10="","LISTO","REVISAR"))</f>
        <v/>
      </c>
      <c r="P10" s="25" t="str">
        <f>IF(COUNTA(B10:N10)=0,"",TRIM(IF(B10="","Falta categoría. ","")&amp;IF(AND(B10&lt;&gt;"",COUNTIF(Catalogos!$B$6:$B$12,B10)=0),"Categoría inválida. ","")&amp;IF(C10="","Falta centro de costo. ","")&amp;IF(D10="","Falta partida. ","")&amp;IF(E10="","Falta fecha. ","")&amp;IF(F10="","Falta concepto. ","")&amp;IF(G10="","Falta proveedor. ","")&amp;IF(I10="","Falta monto. ","")&amp;IF(AND(I10&lt;&gt;"",I10&lt;=0),"Monto inválido. ","")&amp;IF(AND(COUNTA(J10:M10)&gt;0,OR(J10="",K10="",L10="",M10="")),"Completa los 4 campos de moneda extranjera. ","")&amp;IF(AND(J10&lt;&gt;"",COUNTIF(Catalogos!$F$6:$F$6,J10)=0),"Moneda de factura inválida. ","")&amp;IF(AND(K10&lt;&gt;"",K10&lt;=0),"Monto de factura inválido. ","")&amp;IF(AND(L10&lt;&gt;"",L10&lt;=0),"Tipo de cambio inválido. ","")))</f>
        <v/>
      </c>
    </row>
    <row r="11" ht="22" customHeight="1">
      <c r="A11" s="17" t="str">
        <f t="shared" si="2"/>
        <v/>
      </c>
      <c r="B11" s="18"/>
      <c r="C11" s="18"/>
      <c r="D11" s="18"/>
      <c r="E11" s="19"/>
      <c r="F11" s="18"/>
      <c r="G11" s="18"/>
      <c r="H11" s="20"/>
      <c r="I11" s="21"/>
      <c r="J11" s="22"/>
      <c r="K11" s="21"/>
      <c r="L11" s="23"/>
      <c r="M11" s="19"/>
      <c r="N11" s="18"/>
      <c r="O11" s="24" t="str">
        <f t="shared" si="3"/>
        <v/>
      </c>
      <c r="P11" s="25" t="str">
        <f>IF(COUNTA(B11:N11)=0,"",TRIM(IF(B11="","Falta categoría. ","")&amp;IF(AND(B11&lt;&gt;"",COUNTIF(Catalogos!$B$6:$B$12,B11)=0),"Categoría inválida. ","")&amp;IF(C11="","Falta centro de costo. ","")&amp;IF(D11="","Falta partida. ","")&amp;IF(E11="","Falta fecha. ","")&amp;IF(F11="","Falta concepto. ","")&amp;IF(G11="","Falta proveedor. ","")&amp;IF(I11="","Falta monto. ","")&amp;IF(AND(I11&lt;&gt;"",I11&lt;=0),"Monto inválido. ","")&amp;IF(AND(COUNTA(J11:M11)&gt;0,OR(J11="",K11="",L11="",M11="")),"Completa los 4 campos de moneda extranjera. ","")&amp;IF(AND(J11&lt;&gt;"",COUNTIF(Catalogos!$F$6,J11)=0),"Moneda de factura inválida. ","")&amp;IF(AND(K11&lt;&gt;"",K11&lt;=0),"Monto de factura inválido. ","")&amp;IF(AND(L11&lt;&gt;"",L11&lt;=0),"Tipo de cambio inválido. ","")))</f>
        <v/>
      </c>
    </row>
    <row r="12" ht="22" customHeight="1">
      <c r="A12" s="17" t="str">
        <f t="shared" si="2"/>
        <v/>
      </c>
      <c r="B12" s="18"/>
      <c r="C12" s="18"/>
      <c r="D12" s="18"/>
      <c r="E12" s="19"/>
      <c r="F12" s="18"/>
      <c r="G12" s="18"/>
      <c r="H12" s="20"/>
      <c r="I12" s="21"/>
      <c r="J12" s="22"/>
      <c r="K12" s="21"/>
      <c r="L12" s="23"/>
      <c r="M12" s="19"/>
      <c r="N12" s="18"/>
      <c r="O12" s="24" t="str">
        <f t="shared" si="3"/>
        <v/>
      </c>
      <c r="P12" s="25" t="str">
        <f>IF(COUNTA(B12:N12)=0,"",TRIM(IF(B12="","Falta categoría. ","")&amp;IF(AND(B12&lt;&gt;"",COUNTIF(Catalogos!$B$6:$B$12,B12)=0),"Categoría inválida. ","")&amp;IF(C12="","Falta centro de costo. ","")&amp;IF(D12="","Falta partida. ","")&amp;IF(E12="","Falta fecha. ","")&amp;IF(F12="","Falta concepto. ","")&amp;IF(G12="","Falta proveedor. ","")&amp;IF(I12="","Falta monto. ","")&amp;IF(AND(I12&lt;&gt;"",I12&lt;=0),"Monto inválido. ","")&amp;IF(AND(COUNTA(J12:M12)&gt;0,OR(J12="",K12="",L12="",M12="")),"Completa los 4 campos de moneda extranjera. ","")&amp;IF(AND(J12&lt;&gt;"",COUNTIF(Catalogos!$F$6,J12)=0),"Moneda de factura inválida. ","")&amp;IF(AND(K12&lt;&gt;"",K12&lt;=0),"Monto de factura inválido. ","")&amp;IF(AND(L12&lt;&gt;"",L12&lt;=0),"Tipo de cambio inválido. ","")))</f>
        <v/>
      </c>
    </row>
    <row r="13" ht="22" customHeight="1">
      <c r="A13" s="17" t="str">
        <f t="shared" si="2"/>
        <v/>
      </c>
      <c r="B13" s="18"/>
      <c r="C13" s="18"/>
      <c r="D13" s="18"/>
      <c r="E13" s="19"/>
      <c r="F13" s="18"/>
      <c r="G13" s="18"/>
      <c r="H13" s="20"/>
      <c r="I13" s="21"/>
      <c r="J13" s="22"/>
      <c r="K13" s="21"/>
      <c r="L13" s="23"/>
      <c r="M13" s="19"/>
      <c r="N13" s="18"/>
      <c r="O13" s="24" t="str">
        <f t="shared" si="3"/>
        <v/>
      </c>
      <c r="P13" s="25" t="str">
        <f>IF(COUNTA(B13:N13)=0,"",TRIM(IF(B13="","Falta categoría. ","")&amp;IF(AND(B13&lt;&gt;"",COUNTIF(Catalogos!$B$6:$B$12,B13)=0),"Categoría inválida. ","")&amp;IF(C13="","Falta centro de costo. ","")&amp;IF(D13="","Falta partida. ","")&amp;IF(E13="","Falta fecha. ","")&amp;IF(F13="","Falta concepto. ","")&amp;IF(G13="","Falta proveedor. ","")&amp;IF(I13="","Falta monto. ","")&amp;IF(AND(I13&lt;&gt;"",I13&lt;=0),"Monto inválido. ","")&amp;IF(AND(COUNTA(J13:M13)&gt;0,OR(J13="",K13="",L13="",M13="")),"Completa los 4 campos de moneda extranjera. ","")&amp;IF(AND(J13&lt;&gt;"",COUNTIF(Catalogos!$F$6,J13)=0),"Moneda de factura inválida. ","")&amp;IF(AND(K13&lt;&gt;"",K13&lt;=0),"Monto de factura inválido. ","")&amp;IF(AND(L13&lt;&gt;"",L13&lt;=0),"Tipo de cambio inválido. ","")))</f>
        <v/>
      </c>
    </row>
    <row r="14" ht="22" customHeight="1">
      <c r="A14" s="17" t="str">
        <f t="shared" si="2"/>
        <v/>
      </c>
      <c r="B14" s="18"/>
      <c r="C14" s="18"/>
      <c r="D14" s="18"/>
      <c r="E14" s="19"/>
      <c r="F14" s="18"/>
      <c r="G14" s="18"/>
      <c r="H14" s="20"/>
      <c r="I14" s="21"/>
      <c r="J14" s="22"/>
      <c r="K14" s="21"/>
      <c r="L14" s="23"/>
      <c r="M14" s="19"/>
      <c r="N14" s="18"/>
      <c r="O14" s="24" t="str">
        <f t="shared" si="3"/>
        <v/>
      </c>
      <c r="P14" s="25" t="str">
        <f>IF(COUNTA(B14:N14)=0,"",TRIM(IF(B14="","Falta categoría. ","")&amp;IF(AND(B14&lt;&gt;"",COUNTIF(Catalogos!$B$6:$B$12,B14)=0),"Categoría inválida. ","")&amp;IF(C14="","Falta centro de costo. ","")&amp;IF(D14="","Falta partida. ","")&amp;IF(E14="","Falta fecha. ","")&amp;IF(F14="","Falta concepto. ","")&amp;IF(G14="","Falta proveedor. ","")&amp;IF(I14="","Falta monto. ","")&amp;IF(AND(I14&lt;&gt;"",I14&lt;=0),"Monto inválido. ","")&amp;IF(AND(COUNTA(J14:M14)&gt;0,OR(J14="",K14="",L14="",M14="")),"Completa los 4 campos de moneda extranjera. ","")&amp;IF(AND(J14&lt;&gt;"",COUNTIF(Catalogos!$F$6,J14)=0),"Moneda de factura inválida. ","")&amp;IF(AND(K14&lt;&gt;"",K14&lt;=0),"Monto de factura inválido. ","")&amp;IF(AND(L14&lt;&gt;"",L14&lt;=0),"Tipo de cambio inválido. ","")))</f>
        <v/>
      </c>
    </row>
    <row r="15" ht="22" customHeight="1">
      <c r="A15" s="17" t="str">
        <f t="shared" si="2"/>
        <v/>
      </c>
      <c r="B15" s="18"/>
      <c r="C15" s="18"/>
      <c r="D15" s="18"/>
      <c r="E15" s="19"/>
      <c r="F15" s="18"/>
      <c r="G15" s="18"/>
      <c r="H15" s="20"/>
      <c r="I15" s="21"/>
      <c r="J15" s="22"/>
      <c r="K15" s="21"/>
      <c r="L15" s="23"/>
      <c r="M15" s="19"/>
      <c r="N15" s="18"/>
      <c r="O15" s="24" t="str">
        <f t="shared" si="3"/>
        <v/>
      </c>
      <c r="P15" s="25" t="str">
        <f>IF(COUNTA(B15:N15)=0,"",TRIM(IF(B15="","Falta categoría. ","")&amp;IF(AND(B15&lt;&gt;"",COUNTIF(Catalogos!$B$6:$B$12,B15)=0),"Categoría inválida. ","")&amp;IF(C15="","Falta centro de costo. ","")&amp;IF(D15="","Falta partida. ","")&amp;IF(E15="","Falta fecha. ","")&amp;IF(F15="","Falta concepto. ","")&amp;IF(G15="","Falta proveedor. ","")&amp;IF(I15="","Falta monto. ","")&amp;IF(AND(I15&lt;&gt;"",I15&lt;=0),"Monto inválido. ","")&amp;IF(AND(COUNTA(J15:M15)&gt;0,OR(J15="",K15="",L15="",M15="")),"Completa los 4 campos de moneda extranjera. ","")&amp;IF(AND(J15&lt;&gt;"",COUNTIF(Catalogos!$F$6,J15)=0),"Moneda de factura inválida. ","")&amp;IF(AND(K15&lt;&gt;"",K15&lt;=0),"Monto de factura inválido. ","")&amp;IF(AND(L15&lt;&gt;"",L15&lt;=0),"Tipo de cambio inválido. ","")))</f>
        <v/>
      </c>
    </row>
    <row r="16" ht="22" customHeight="1">
      <c r="A16" s="17" t="str">
        <f t="shared" si="2"/>
        <v/>
      </c>
      <c r="B16" s="18"/>
      <c r="C16" s="18"/>
      <c r="D16" s="18"/>
      <c r="E16" s="19"/>
      <c r="F16" s="18"/>
      <c r="G16" s="18"/>
      <c r="H16" s="20"/>
      <c r="I16" s="21"/>
      <c r="J16" s="22"/>
      <c r="K16" s="21"/>
      <c r="L16" s="23"/>
      <c r="M16" s="19"/>
      <c r="N16" s="18"/>
      <c r="O16" s="24" t="str">
        <f t="shared" si="3"/>
        <v/>
      </c>
      <c r="P16" s="25" t="str">
        <f>IF(COUNTA(B16:N16)=0,"",TRIM(IF(B16="","Falta categoría. ","")&amp;IF(AND(B16&lt;&gt;"",COUNTIF(Catalogos!$B$6:$B$12,B16)=0),"Categoría inválida. ","")&amp;IF(C16="","Falta centro de costo. ","")&amp;IF(D16="","Falta partida. ","")&amp;IF(E16="","Falta fecha. ","")&amp;IF(F16="","Falta concepto. ","")&amp;IF(G16="","Falta proveedor. ","")&amp;IF(I16="","Falta monto. ","")&amp;IF(AND(I16&lt;&gt;"",I16&lt;=0),"Monto inválido. ","")&amp;IF(AND(COUNTA(J16:M16)&gt;0,OR(J16="",K16="",L16="",M16="")),"Completa los 4 campos de moneda extranjera. ","")&amp;IF(AND(J16&lt;&gt;"",COUNTIF(Catalogos!$F$6,J16)=0),"Moneda de factura inválida. ","")&amp;IF(AND(K16&lt;&gt;"",K16&lt;=0),"Monto de factura inválido. ","")&amp;IF(AND(L16&lt;&gt;"",L16&lt;=0),"Tipo de cambio inválido. ","")))</f>
        <v/>
      </c>
    </row>
    <row r="17" ht="22" customHeight="1">
      <c r="A17" s="17" t="str">
        <f t="shared" si="2"/>
        <v/>
      </c>
      <c r="B17" s="18"/>
      <c r="C17" s="18"/>
      <c r="D17" s="18"/>
      <c r="E17" s="19"/>
      <c r="F17" s="18"/>
      <c r="G17" s="18"/>
      <c r="H17" s="20"/>
      <c r="I17" s="21"/>
      <c r="J17" s="22"/>
      <c r="K17" s="21"/>
      <c r="L17" s="23"/>
      <c r="M17" s="19"/>
      <c r="N17" s="18"/>
      <c r="O17" s="24" t="str">
        <f t="shared" si="3"/>
        <v/>
      </c>
      <c r="P17" s="25" t="str">
        <f>IF(COUNTA(B17:N17)=0,"",TRIM(IF(B17="","Falta categoría. ","")&amp;IF(AND(B17&lt;&gt;"",COUNTIF(Catalogos!$B$6:$B$12,B17)=0),"Categoría inválida. ","")&amp;IF(C17="","Falta centro de costo. ","")&amp;IF(D17="","Falta partida. ","")&amp;IF(E17="","Falta fecha. ","")&amp;IF(F17="","Falta concepto. ","")&amp;IF(G17="","Falta proveedor. ","")&amp;IF(I17="","Falta monto. ","")&amp;IF(AND(I17&lt;&gt;"",I17&lt;=0),"Monto inválido. ","")&amp;IF(AND(COUNTA(J17:M17)&gt;0,OR(J17="",K17="",L17="",M17="")),"Completa los 4 campos de moneda extranjera. ","")&amp;IF(AND(J17&lt;&gt;"",COUNTIF(Catalogos!$F$6,J17)=0),"Moneda de factura inválida. ","")&amp;IF(AND(K17&lt;&gt;"",K17&lt;=0),"Monto de factura inválido. ","")&amp;IF(AND(L17&lt;&gt;"",L17&lt;=0),"Tipo de cambio inválido. ","")))</f>
        <v/>
      </c>
    </row>
    <row r="18" ht="22" customHeight="1">
      <c r="A18" s="17" t="str">
        <f t="shared" si="2"/>
        <v/>
      </c>
      <c r="B18" s="18"/>
      <c r="C18" s="18"/>
      <c r="D18" s="18"/>
      <c r="E18" s="19"/>
      <c r="F18" s="18"/>
      <c r="G18" s="18"/>
      <c r="H18" s="20"/>
      <c r="I18" s="21"/>
      <c r="J18" s="22"/>
      <c r="K18" s="21"/>
      <c r="L18" s="23"/>
      <c r="M18" s="19"/>
      <c r="N18" s="18"/>
      <c r="O18" s="24" t="str">
        <f t="shared" si="3"/>
        <v/>
      </c>
      <c r="P18" s="25" t="str">
        <f>IF(COUNTA(B18:N18)=0,"",TRIM(IF(B18="","Falta categoría. ","")&amp;IF(AND(B18&lt;&gt;"",COUNTIF(Catalogos!$B$6:$B$12,B18)=0),"Categoría inválida. ","")&amp;IF(C18="","Falta centro de costo. ","")&amp;IF(D18="","Falta partida. ","")&amp;IF(E18="","Falta fecha. ","")&amp;IF(F18="","Falta concepto. ","")&amp;IF(G18="","Falta proveedor. ","")&amp;IF(I18="","Falta monto. ","")&amp;IF(AND(I18&lt;&gt;"",I18&lt;=0),"Monto inválido. ","")&amp;IF(AND(COUNTA(J18:M18)&gt;0,OR(J18="",K18="",L18="",M18="")),"Completa los 4 campos de moneda extranjera. ","")&amp;IF(AND(J18&lt;&gt;"",COUNTIF(Catalogos!$F$6,J18)=0),"Moneda de factura inválida. ","")&amp;IF(AND(K18&lt;&gt;"",K18&lt;=0),"Monto de factura inválido. ","")&amp;IF(AND(L18&lt;&gt;"",L18&lt;=0),"Tipo de cambio inválido. ","")))</f>
        <v/>
      </c>
    </row>
    <row r="19" ht="22" customHeight="1">
      <c r="A19" s="17" t="str">
        <f t="shared" si="2"/>
        <v/>
      </c>
      <c r="B19" s="18"/>
      <c r="C19" s="18"/>
      <c r="D19" s="18"/>
      <c r="E19" s="19"/>
      <c r="F19" s="18"/>
      <c r="G19" s="18"/>
      <c r="H19" s="20"/>
      <c r="I19" s="21"/>
      <c r="J19" s="22"/>
      <c r="K19" s="21"/>
      <c r="L19" s="23"/>
      <c r="M19" s="19"/>
      <c r="N19" s="18"/>
      <c r="O19" s="24" t="str">
        <f t="shared" si="3"/>
        <v/>
      </c>
      <c r="P19" s="25" t="str">
        <f>IF(COUNTA(B19:N19)=0,"",TRIM(IF(B19="","Falta categoría. ","")&amp;IF(AND(B19&lt;&gt;"",COUNTIF(Catalogos!$B$6:$B$12,B19)=0),"Categoría inválida. ","")&amp;IF(C19="","Falta centro de costo. ","")&amp;IF(D19="","Falta partida. ","")&amp;IF(E19="","Falta fecha. ","")&amp;IF(F19="","Falta concepto. ","")&amp;IF(G19="","Falta proveedor. ","")&amp;IF(I19="","Falta monto. ","")&amp;IF(AND(I19&lt;&gt;"",I19&lt;=0),"Monto inválido. ","")&amp;IF(AND(COUNTA(J19:M19)&gt;0,OR(J19="",K19="",L19="",M19="")),"Completa los 4 campos de moneda extranjera. ","")&amp;IF(AND(J19&lt;&gt;"",COUNTIF(Catalogos!$F$6,J19)=0),"Moneda de factura inválida. ","")&amp;IF(AND(K19&lt;&gt;"",K19&lt;=0),"Monto de factura inválido. ","")&amp;IF(AND(L19&lt;&gt;"",L19&lt;=0),"Tipo de cambio inválido. ","")))</f>
        <v/>
      </c>
    </row>
    <row r="20" ht="22" customHeight="1">
      <c r="A20" s="17" t="str">
        <f t="shared" si="2"/>
        <v/>
      </c>
      <c r="B20" s="18"/>
      <c r="C20" s="18"/>
      <c r="D20" s="18"/>
      <c r="E20" s="19"/>
      <c r="F20" s="18"/>
      <c r="G20" s="18"/>
      <c r="H20" s="20"/>
      <c r="I20" s="21"/>
      <c r="J20" s="22"/>
      <c r="K20" s="21"/>
      <c r="L20" s="23"/>
      <c r="M20" s="19"/>
      <c r="N20" s="18"/>
      <c r="O20" s="24" t="str">
        <f t="shared" si="3"/>
        <v/>
      </c>
      <c r="P20" s="25" t="str">
        <f>IF(COUNTA(B20:N20)=0,"",TRIM(IF(B20="","Falta categoría. ","")&amp;IF(AND(B20&lt;&gt;"",COUNTIF(Catalogos!$B$6:$B$12,B20)=0),"Categoría inválida. ","")&amp;IF(C20="","Falta centro de costo. ","")&amp;IF(D20="","Falta partida. ","")&amp;IF(E20="","Falta fecha. ","")&amp;IF(F20="","Falta concepto. ","")&amp;IF(G20="","Falta proveedor. ","")&amp;IF(I20="","Falta monto. ","")&amp;IF(AND(I20&lt;&gt;"",I20&lt;=0),"Monto inválido. ","")&amp;IF(AND(COUNTA(J20:M20)&gt;0,OR(J20="",K20="",L20="",M20="")),"Completa los 4 campos de moneda extranjera. ","")&amp;IF(AND(J20&lt;&gt;"",COUNTIF(Catalogos!$F$6,J20)=0),"Moneda de factura inválida. ","")&amp;IF(AND(K20&lt;&gt;"",K20&lt;=0),"Monto de factura inválido. ","")&amp;IF(AND(L20&lt;&gt;"",L20&lt;=0),"Tipo de cambio inválido. ","")))</f>
        <v/>
      </c>
    </row>
    <row r="21" ht="22" customHeight="1">
      <c r="A21" s="17" t="str">
        <f t="shared" si="2"/>
        <v/>
      </c>
      <c r="B21" s="18"/>
      <c r="C21" s="18"/>
      <c r="D21" s="18"/>
      <c r="E21" s="19"/>
      <c r="F21" s="18"/>
      <c r="G21" s="18"/>
      <c r="H21" s="20"/>
      <c r="I21" s="21"/>
      <c r="J21" s="22"/>
      <c r="K21" s="21"/>
      <c r="L21" s="23"/>
      <c r="M21" s="19"/>
      <c r="N21" s="18"/>
      <c r="O21" s="24" t="str">
        <f t="shared" si="3"/>
        <v/>
      </c>
      <c r="P21" s="25" t="str">
        <f>IF(COUNTA(B21:N21)=0,"",TRIM(IF(B21="","Falta categoría. ","")&amp;IF(AND(B21&lt;&gt;"",COUNTIF(Catalogos!$B$6:$B$12,B21)=0),"Categoría inválida. ","")&amp;IF(C21="","Falta centro de costo. ","")&amp;IF(D21="","Falta partida. ","")&amp;IF(E21="","Falta fecha. ","")&amp;IF(F21="","Falta concepto. ","")&amp;IF(G21="","Falta proveedor. ","")&amp;IF(I21="","Falta monto. ","")&amp;IF(AND(I21&lt;&gt;"",I21&lt;=0),"Monto inválido. ","")&amp;IF(AND(COUNTA(J21:M21)&gt;0,OR(J21="",K21="",L21="",M21="")),"Completa los 4 campos de moneda extranjera. ","")&amp;IF(AND(J21&lt;&gt;"",COUNTIF(Catalogos!$F$6,J21)=0),"Moneda de factura inválida. ","")&amp;IF(AND(K21&lt;&gt;"",K21&lt;=0),"Monto de factura inválido. ","")&amp;IF(AND(L21&lt;&gt;"",L21&lt;=0),"Tipo de cambio inválido. ","")))</f>
        <v/>
      </c>
    </row>
    <row r="22" ht="22" customHeight="1">
      <c r="A22" s="17" t="str">
        <f t="shared" si="2"/>
        <v/>
      </c>
      <c r="B22" s="18"/>
      <c r="C22" s="18"/>
      <c r="D22" s="18"/>
      <c r="E22" s="19"/>
      <c r="F22" s="18"/>
      <c r="G22" s="18"/>
      <c r="H22" s="20"/>
      <c r="I22" s="21"/>
      <c r="J22" s="22"/>
      <c r="K22" s="21"/>
      <c r="L22" s="23"/>
      <c r="M22" s="19"/>
      <c r="N22" s="18"/>
      <c r="O22" s="24" t="str">
        <f t="shared" si="3"/>
        <v/>
      </c>
      <c r="P22" s="25" t="str">
        <f>IF(COUNTA(B22:N22)=0,"",TRIM(IF(B22="","Falta categoría. ","")&amp;IF(AND(B22&lt;&gt;"",COUNTIF(Catalogos!$B$6:$B$12,B22)=0),"Categoría inválida. ","")&amp;IF(C22="","Falta centro de costo. ","")&amp;IF(D22="","Falta partida. ","")&amp;IF(E22="","Falta fecha. ","")&amp;IF(F22="","Falta concepto. ","")&amp;IF(G22="","Falta proveedor. ","")&amp;IF(I22="","Falta monto. ","")&amp;IF(AND(I22&lt;&gt;"",I22&lt;=0),"Monto inválido. ","")&amp;IF(AND(COUNTA(J22:M22)&gt;0,OR(J22="",K22="",L22="",M22="")),"Completa los 4 campos de moneda extranjera. ","")&amp;IF(AND(J22&lt;&gt;"",COUNTIF(Catalogos!$F$6,J22)=0),"Moneda de factura inválida. ","")&amp;IF(AND(K22&lt;&gt;"",K22&lt;=0),"Monto de factura inválido. ","")&amp;IF(AND(L22&lt;&gt;"",L22&lt;=0),"Tipo de cambio inválido. ","")))</f>
        <v/>
      </c>
    </row>
    <row r="23" ht="22" customHeight="1">
      <c r="A23" s="17" t="str">
        <f t="shared" si="2"/>
        <v/>
      </c>
      <c r="B23" s="18"/>
      <c r="C23" s="18"/>
      <c r="D23" s="18"/>
      <c r="E23" s="19"/>
      <c r="F23" s="18"/>
      <c r="G23" s="18"/>
      <c r="H23" s="20"/>
      <c r="I23" s="21"/>
      <c r="J23" s="22"/>
      <c r="K23" s="21"/>
      <c r="L23" s="23"/>
      <c r="M23" s="19"/>
      <c r="N23" s="18"/>
      <c r="O23" s="24" t="str">
        <f t="shared" si="3"/>
        <v/>
      </c>
      <c r="P23" s="25" t="str">
        <f>IF(COUNTA(B23:N23)=0,"",TRIM(IF(B23="","Falta categoría. ","")&amp;IF(AND(B23&lt;&gt;"",COUNTIF(Catalogos!$B$6:$B$12,B23)=0),"Categoría inválida. ","")&amp;IF(C23="","Falta centro de costo. ","")&amp;IF(D23="","Falta partida. ","")&amp;IF(E23="","Falta fecha. ","")&amp;IF(F23="","Falta concepto. ","")&amp;IF(G23="","Falta proveedor. ","")&amp;IF(I23="","Falta monto. ","")&amp;IF(AND(I23&lt;&gt;"",I23&lt;=0),"Monto inválido. ","")&amp;IF(AND(COUNTA(J23:M23)&gt;0,OR(J23="",K23="",L23="",M23="")),"Completa los 4 campos de moneda extranjera. ","")&amp;IF(AND(J23&lt;&gt;"",COUNTIF(Catalogos!$F$6,J23)=0),"Moneda de factura inválida. ","")&amp;IF(AND(K23&lt;&gt;"",K23&lt;=0),"Monto de factura inválido. ","")&amp;IF(AND(L23&lt;&gt;"",L23&lt;=0),"Tipo de cambio inválido. ","")))</f>
        <v/>
      </c>
    </row>
    <row r="24" ht="22" customHeight="1">
      <c r="A24" s="17" t="str">
        <f t="shared" si="2"/>
        <v/>
      </c>
      <c r="B24" s="18"/>
      <c r="C24" s="18"/>
      <c r="D24" s="18"/>
      <c r="E24" s="19"/>
      <c r="F24" s="18"/>
      <c r="G24" s="18"/>
      <c r="H24" s="20"/>
      <c r="I24" s="21"/>
      <c r="J24" s="22"/>
      <c r="K24" s="21"/>
      <c r="L24" s="23"/>
      <c r="M24" s="19"/>
      <c r="N24" s="18"/>
      <c r="O24" s="24" t="str">
        <f t="shared" si="3"/>
        <v/>
      </c>
      <c r="P24" s="25" t="str">
        <f>IF(COUNTA(B24:N24)=0,"",TRIM(IF(B24="","Falta categoría. ","")&amp;IF(AND(B24&lt;&gt;"",COUNTIF(Catalogos!$B$6:$B$12,B24)=0),"Categoría inválida. ","")&amp;IF(C24="","Falta centro de costo. ","")&amp;IF(D24="","Falta partida. ","")&amp;IF(E24="","Falta fecha. ","")&amp;IF(F24="","Falta concepto. ","")&amp;IF(G24="","Falta proveedor. ","")&amp;IF(I24="","Falta monto. ","")&amp;IF(AND(I24&lt;&gt;"",I24&lt;=0),"Monto inválido. ","")&amp;IF(AND(COUNTA(J24:M24)&gt;0,OR(J24="",K24="",L24="",M24="")),"Completa los 4 campos de moneda extranjera. ","")&amp;IF(AND(J24&lt;&gt;"",COUNTIF(Catalogos!$F$6,J24)=0),"Moneda de factura inválida. ","")&amp;IF(AND(K24&lt;&gt;"",K24&lt;=0),"Monto de factura inválido. ","")&amp;IF(AND(L24&lt;&gt;"",L24&lt;=0),"Tipo de cambio inválido. ","")))</f>
        <v/>
      </c>
    </row>
    <row r="25" ht="22" customHeight="1">
      <c r="A25" s="17" t="str">
        <f t="shared" si="2"/>
        <v/>
      </c>
      <c r="B25" s="18"/>
      <c r="C25" s="18"/>
      <c r="D25" s="18"/>
      <c r="E25" s="19"/>
      <c r="F25" s="18"/>
      <c r="G25" s="18"/>
      <c r="H25" s="20"/>
      <c r="I25" s="21"/>
      <c r="J25" s="22"/>
      <c r="K25" s="21"/>
      <c r="L25" s="23"/>
      <c r="M25" s="19"/>
      <c r="N25" s="18"/>
      <c r="O25" s="24" t="str">
        <f t="shared" si="3"/>
        <v/>
      </c>
      <c r="P25" s="25" t="str">
        <f>IF(COUNTA(B25:N25)=0,"",TRIM(IF(B25="","Falta categoría. ","")&amp;IF(AND(B25&lt;&gt;"",COUNTIF(Catalogos!$B$6:$B$12,B25)=0),"Categoría inválida. ","")&amp;IF(C25="","Falta centro de costo. ","")&amp;IF(D25="","Falta partida. ","")&amp;IF(E25="","Falta fecha. ","")&amp;IF(F25="","Falta concepto. ","")&amp;IF(G25="","Falta proveedor. ","")&amp;IF(I25="","Falta monto. ","")&amp;IF(AND(I25&lt;&gt;"",I25&lt;=0),"Monto inválido. ","")&amp;IF(AND(COUNTA(J25:M25)&gt;0,OR(J25="",K25="",L25="",M25="")),"Completa los 4 campos de moneda extranjera. ","")&amp;IF(AND(J25&lt;&gt;"",COUNTIF(Catalogos!$F$6,J25)=0),"Moneda de factura inválida. ","")&amp;IF(AND(K25&lt;&gt;"",K25&lt;=0),"Monto de factura inválido. ","")&amp;IF(AND(L25&lt;&gt;"",L25&lt;=0),"Tipo de cambio inválido. ","")))</f>
        <v/>
      </c>
    </row>
    <row r="26" ht="22" customHeight="1">
      <c r="A26" s="17" t="str">
        <f t="shared" si="2"/>
        <v/>
      </c>
      <c r="B26" s="18"/>
      <c r="C26" s="18"/>
      <c r="D26" s="18"/>
      <c r="E26" s="19"/>
      <c r="F26" s="18"/>
      <c r="G26" s="18"/>
      <c r="H26" s="20"/>
      <c r="I26" s="21"/>
      <c r="J26" s="22"/>
      <c r="K26" s="21"/>
      <c r="L26" s="23"/>
      <c r="M26" s="19"/>
      <c r="N26" s="18"/>
      <c r="O26" s="24" t="str">
        <f t="shared" si="3"/>
        <v/>
      </c>
      <c r="P26" s="25" t="str">
        <f>IF(COUNTA(B26:N26)=0,"",TRIM(IF(B26="","Falta categoría. ","")&amp;IF(AND(B26&lt;&gt;"",COUNTIF(Catalogos!$B$6:$B$12,B26)=0),"Categoría inválida. ","")&amp;IF(C26="","Falta centro de costo. ","")&amp;IF(D26="","Falta partida. ","")&amp;IF(E26="","Falta fecha. ","")&amp;IF(F26="","Falta concepto. ","")&amp;IF(G26="","Falta proveedor. ","")&amp;IF(I26="","Falta monto. ","")&amp;IF(AND(I26&lt;&gt;"",I26&lt;=0),"Monto inválido. ","")&amp;IF(AND(COUNTA(J26:M26)&gt;0,OR(J26="",K26="",L26="",M26="")),"Completa los 4 campos de moneda extranjera. ","")&amp;IF(AND(J26&lt;&gt;"",COUNTIF(Catalogos!$F$6,J26)=0),"Moneda de factura inválida. ","")&amp;IF(AND(K26&lt;&gt;"",K26&lt;=0),"Monto de factura inválido. ","")&amp;IF(AND(L26&lt;&gt;"",L26&lt;=0),"Tipo de cambio inválido. ","")))</f>
        <v/>
      </c>
    </row>
    <row r="27" ht="22" customHeight="1">
      <c r="A27" s="17" t="str">
        <f t="shared" si="2"/>
        <v/>
      </c>
      <c r="B27" s="18"/>
      <c r="C27" s="18"/>
      <c r="D27" s="18"/>
      <c r="E27" s="19"/>
      <c r="F27" s="18"/>
      <c r="G27" s="18"/>
      <c r="H27" s="20"/>
      <c r="I27" s="21"/>
      <c r="J27" s="22"/>
      <c r="K27" s="21"/>
      <c r="L27" s="23"/>
      <c r="M27" s="19"/>
      <c r="N27" s="18"/>
      <c r="O27" s="24" t="str">
        <f t="shared" si="3"/>
        <v/>
      </c>
      <c r="P27" s="25" t="str">
        <f>IF(COUNTA(B27:N27)=0,"",TRIM(IF(B27="","Falta categoría. ","")&amp;IF(AND(B27&lt;&gt;"",COUNTIF(Catalogos!$B$6:$B$12,B27)=0),"Categoría inválida. ","")&amp;IF(C27="","Falta centro de costo. ","")&amp;IF(D27="","Falta partida. ","")&amp;IF(E27="","Falta fecha. ","")&amp;IF(F27="","Falta concepto. ","")&amp;IF(G27="","Falta proveedor. ","")&amp;IF(I27="","Falta monto. ","")&amp;IF(AND(I27&lt;&gt;"",I27&lt;=0),"Monto inválido. ","")&amp;IF(AND(COUNTA(J27:M27)&gt;0,OR(J27="",K27="",L27="",M27="")),"Completa los 4 campos de moneda extranjera. ","")&amp;IF(AND(J27&lt;&gt;"",COUNTIF(Catalogos!$F$6,J27)=0),"Moneda de factura inválida. ","")&amp;IF(AND(K27&lt;&gt;"",K27&lt;=0),"Monto de factura inválido. ","")&amp;IF(AND(L27&lt;&gt;"",L27&lt;=0),"Tipo de cambio inválido. ","")))</f>
        <v/>
      </c>
    </row>
    <row r="28" ht="22" customHeight="1">
      <c r="A28" s="17" t="str">
        <f t="shared" si="2"/>
        <v/>
      </c>
      <c r="B28" s="18"/>
      <c r="C28" s="18"/>
      <c r="D28" s="18"/>
      <c r="E28" s="19"/>
      <c r="F28" s="18"/>
      <c r="G28" s="18"/>
      <c r="H28" s="20"/>
      <c r="I28" s="21"/>
      <c r="J28" s="22"/>
      <c r="K28" s="21"/>
      <c r="L28" s="23"/>
      <c r="M28" s="19"/>
      <c r="N28" s="18"/>
      <c r="O28" s="24" t="str">
        <f t="shared" si="3"/>
        <v/>
      </c>
      <c r="P28" s="25" t="str">
        <f>IF(COUNTA(B28:N28)=0,"",TRIM(IF(B28="","Falta categoría. ","")&amp;IF(AND(B28&lt;&gt;"",COUNTIF(Catalogos!$B$6:$B$12,B28)=0),"Categoría inválida. ","")&amp;IF(C28="","Falta centro de costo. ","")&amp;IF(D28="","Falta partida. ","")&amp;IF(E28="","Falta fecha. ","")&amp;IF(F28="","Falta concepto. ","")&amp;IF(G28="","Falta proveedor. ","")&amp;IF(I28="","Falta monto. ","")&amp;IF(AND(I28&lt;&gt;"",I28&lt;=0),"Monto inválido. ","")&amp;IF(AND(COUNTA(J28:M28)&gt;0,OR(J28="",K28="",L28="",M28="")),"Completa los 4 campos de moneda extranjera. ","")&amp;IF(AND(J28&lt;&gt;"",COUNTIF(Catalogos!$F$6,J28)=0),"Moneda de factura inválida. ","")&amp;IF(AND(K28&lt;&gt;"",K28&lt;=0),"Monto de factura inválido. ","")&amp;IF(AND(L28&lt;&gt;"",L28&lt;=0),"Tipo de cambio inválido. ","")))</f>
        <v/>
      </c>
    </row>
    <row r="29" ht="22" customHeight="1">
      <c r="A29" s="17" t="str">
        <f t="shared" si="2"/>
        <v/>
      </c>
      <c r="B29" s="18"/>
      <c r="C29" s="18"/>
      <c r="D29" s="18"/>
      <c r="E29" s="19"/>
      <c r="F29" s="18"/>
      <c r="G29" s="18"/>
      <c r="H29" s="20"/>
      <c r="I29" s="21"/>
      <c r="J29" s="22"/>
      <c r="K29" s="21"/>
      <c r="L29" s="23"/>
      <c r="M29" s="19"/>
      <c r="N29" s="18"/>
      <c r="O29" s="24" t="str">
        <f t="shared" si="3"/>
        <v/>
      </c>
      <c r="P29" s="25" t="str">
        <f>IF(COUNTA(B29:N29)=0,"",TRIM(IF(B29="","Falta categoría. ","")&amp;IF(AND(B29&lt;&gt;"",COUNTIF(Catalogos!$B$6:$B$12,B29)=0),"Categoría inválida. ","")&amp;IF(C29="","Falta centro de costo. ","")&amp;IF(D29="","Falta partida. ","")&amp;IF(E29="","Falta fecha. ","")&amp;IF(F29="","Falta concepto. ","")&amp;IF(G29="","Falta proveedor. ","")&amp;IF(I29="","Falta monto. ","")&amp;IF(AND(I29&lt;&gt;"",I29&lt;=0),"Monto inválido. ","")&amp;IF(AND(COUNTA(J29:M29)&gt;0,OR(J29="",K29="",L29="",M29="")),"Completa los 4 campos de moneda extranjera. ","")&amp;IF(AND(J29&lt;&gt;"",COUNTIF(Catalogos!$F$6,J29)=0),"Moneda de factura inválida. ","")&amp;IF(AND(K29&lt;&gt;"",K29&lt;=0),"Monto de factura inválido. ","")&amp;IF(AND(L29&lt;&gt;"",L29&lt;=0),"Tipo de cambio inválido. ","")))</f>
        <v/>
      </c>
    </row>
    <row r="30" ht="22" customHeight="1">
      <c r="A30" s="17" t="str">
        <f t="shared" si="2"/>
        <v/>
      </c>
      <c r="B30" s="18"/>
      <c r="C30" s="18"/>
      <c r="D30" s="18"/>
      <c r="E30" s="19"/>
      <c r="F30" s="18"/>
      <c r="G30" s="18"/>
      <c r="H30" s="20"/>
      <c r="I30" s="21"/>
      <c r="J30" s="22"/>
      <c r="K30" s="21"/>
      <c r="L30" s="23"/>
      <c r="M30" s="19"/>
      <c r="N30" s="18"/>
      <c r="O30" s="24" t="str">
        <f t="shared" si="3"/>
        <v/>
      </c>
      <c r="P30" s="25" t="str">
        <f>IF(COUNTA(B30:N30)=0,"",TRIM(IF(B30="","Falta categoría. ","")&amp;IF(AND(B30&lt;&gt;"",COUNTIF(Catalogos!$B$6:$B$12,B30)=0),"Categoría inválida. ","")&amp;IF(C30="","Falta centro de costo. ","")&amp;IF(D30="","Falta partida. ","")&amp;IF(E30="","Falta fecha. ","")&amp;IF(F30="","Falta concepto. ","")&amp;IF(G30="","Falta proveedor. ","")&amp;IF(I30="","Falta monto. ","")&amp;IF(AND(I30&lt;&gt;"",I30&lt;=0),"Monto inválido. ","")&amp;IF(AND(COUNTA(J30:M30)&gt;0,OR(J30="",K30="",L30="",M30="")),"Completa los 4 campos de moneda extranjera. ","")&amp;IF(AND(J30&lt;&gt;"",COUNTIF(Catalogos!$F$6,J30)=0),"Moneda de factura inválida. ","")&amp;IF(AND(K30&lt;&gt;"",K30&lt;=0),"Monto de factura inválido. ","")&amp;IF(AND(L30&lt;&gt;"",L30&lt;=0),"Tipo de cambio inválido. ","")))</f>
        <v/>
      </c>
    </row>
    <row r="31" ht="22" customHeight="1">
      <c r="A31" s="17" t="str">
        <f t="shared" si="2"/>
        <v/>
      </c>
      <c r="B31" s="18"/>
      <c r="C31" s="18"/>
      <c r="D31" s="18"/>
      <c r="E31" s="19"/>
      <c r="F31" s="18"/>
      <c r="G31" s="18"/>
      <c r="H31" s="20"/>
      <c r="I31" s="21"/>
      <c r="J31" s="22"/>
      <c r="K31" s="21"/>
      <c r="L31" s="23"/>
      <c r="M31" s="19"/>
      <c r="N31" s="18"/>
      <c r="O31" s="24" t="str">
        <f t="shared" si="3"/>
        <v/>
      </c>
      <c r="P31" s="25" t="str">
        <f>IF(COUNTA(B31:N31)=0,"",TRIM(IF(B31="","Falta categoría. ","")&amp;IF(AND(B31&lt;&gt;"",COUNTIF(Catalogos!$B$6:$B$12,B31)=0),"Categoría inválida. ","")&amp;IF(C31="","Falta centro de costo. ","")&amp;IF(D31="","Falta partida. ","")&amp;IF(E31="","Falta fecha. ","")&amp;IF(F31="","Falta concepto. ","")&amp;IF(G31="","Falta proveedor. ","")&amp;IF(I31="","Falta monto. ","")&amp;IF(AND(I31&lt;&gt;"",I31&lt;=0),"Monto inválido. ","")&amp;IF(AND(COUNTA(J31:M31)&gt;0,OR(J31="",K31="",L31="",M31="")),"Completa los 4 campos de moneda extranjera. ","")&amp;IF(AND(J31&lt;&gt;"",COUNTIF(Catalogos!$F$6,J31)=0),"Moneda de factura inválida. ","")&amp;IF(AND(K31&lt;&gt;"",K31&lt;=0),"Monto de factura inválido. ","")&amp;IF(AND(L31&lt;&gt;"",L31&lt;=0),"Tipo de cambio inválido. ","")))</f>
        <v/>
      </c>
    </row>
    <row r="32" ht="22" customHeight="1">
      <c r="A32" s="17" t="str">
        <f t="shared" si="2"/>
        <v/>
      </c>
      <c r="B32" s="18"/>
      <c r="C32" s="18"/>
      <c r="D32" s="18"/>
      <c r="E32" s="19"/>
      <c r="F32" s="18"/>
      <c r="G32" s="18"/>
      <c r="H32" s="20"/>
      <c r="I32" s="21"/>
      <c r="J32" s="22"/>
      <c r="K32" s="21"/>
      <c r="L32" s="23"/>
      <c r="M32" s="19"/>
      <c r="N32" s="18"/>
      <c r="O32" s="24" t="str">
        <f t="shared" si="3"/>
        <v/>
      </c>
      <c r="P32" s="25" t="str">
        <f>IF(COUNTA(B32:N32)=0,"",TRIM(IF(B32="","Falta categoría. ","")&amp;IF(AND(B32&lt;&gt;"",COUNTIF(Catalogos!$B$6:$B$12,B32)=0),"Categoría inválida. ","")&amp;IF(C32="","Falta centro de costo. ","")&amp;IF(D32="","Falta partida. ","")&amp;IF(E32="","Falta fecha. ","")&amp;IF(F32="","Falta concepto. ","")&amp;IF(G32="","Falta proveedor. ","")&amp;IF(I32="","Falta monto. ","")&amp;IF(AND(I32&lt;&gt;"",I32&lt;=0),"Monto inválido. ","")&amp;IF(AND(COUNTA(J32:M32)&gt;0,OR(J32="",K32="",L32="",M32="")),"Completa los 4 campos de moneda extranjera. ","")&amp;IF(AND(J32&lt;&gt;"",COUNTIF(Catalogos!$F$6,J32)=0),"Moneda de factura inválida. ","")&amp;IF(AND(K32&lt;&gt;"",K32&lt;=0),"Monto de factura inválido. ","")&amp;IF(AND(L32&lt;&gt;"",L32&lt;=0),"Tipo de cambio inválido. ","")))</f>
        <v/>
      </c>
    </row>
    <row r="33" ht="22" customHeight="1">
      <c r="A33" s="17" t="str">
        <f t="shared" si="2"/>
        <v/>
      </c>
      <c r="B33" s="18"/>
      <c r="C33" s="18"/>
      <c r="D33" s="18"/>
      <c r="E33" s="19"/>
      <c r="F33" s="18"/>
      <c r="G33" s="18"/>
      <c r="H33" s="20"/>
      <c r="I33" s="21"/>
      <c r="J33" s="22"/>
      <c r="K33" s="21"/>
      <c r="L33" s="23"/>
      <c r="M33" s="19"/>
      <c r="N33" s="18"/>
      <c r="O33" s="24" t="str">
        <f t="shared" si="3"/>
        <v/>
      </c>
      <c r="P33" s="25" t="str">
        <f>IF(COUNTA(B33:N33)=0,"",TRIM(IF(B33="","Falta categoría. ","")&amp;IF(AND(B33&lt;&gt;"",COUNTIF(Catalogos!$B$6:$B$12,B33)=0),"Categoría inválida. ","")&amp;IF(C33="","Falta centro de costo. ","")&amp;IF(D33="","Falta partida. ","")&amp;IF(E33="","Falta fecha. ","")&amp;IF(F33="","Falta concepto. ","")&amp;IF(G33="","Falta proveedor. ","")&amp;IF(I33="","Falta monto. ","")&amp;IF(AND(I33&lt;&gt;"",I33&lt;=0),"Monto inválido. ","")&amp;IF(AND(COUNTA(J33:M33)&gt;0,OR(J33="",K33="",L33="",M33="")),"Completa los 4 campos de moneda extranjera. ","")&amp;IF(AND(J33&lt;&gt;"",COUNTIF(Catalogos!$F$6,J33)=0),"Moneda de factura inválida. ","")&amp;IF(AND(K33&lt;&gt;"",K33&lt;=0),"Monto de factura inválido. ","")&amp;IF(AND(L33&lt;&gt;"",L33&lt;=0),"Tipo de cambio inválido. ","")))</f>
        <v/>
      </c>
    </row>
    <row r="34" ht="22" customHeight="1">
      <c r="A34" s="17" t="str">
        <f t="shared" si="2"/>
        <v/>
      </c>
      <c r="B34" s="18"/>
      <c r="C34" s="18"/>
      <c r="D34" s="18"/>
      <c r="E34" s="19"/>
      <c r="F34" s="18"/>
      <c r="G34" s="18"/>
      <c r="H34" s="20"/>
      <c r="I34" s="21"/>
      <c r="J34" s="22"/>
      <c r="K34" s="21"/>
      <c r="L34" s="23"/>
      <c r="M34" s="19"/>
      <c r="N34" s="18"/>
      <c r="O34" s="24" t="str">
        <f t="shared" si="3"/>
        <v/>
      </c>
      <c r="P34" s="25" t="str">
        <f>IF(COUNTA(B34:N34)=0,"",TRIM(IF(B34="","Falta categoría. ","")&amp;IF(AND(B34&lt;&gt;"",COUNTIF(Catalogos!$B$6:$B$12,B34)=0),"Categoría inválida. ","")&amp;IF(C34="","Falta centro de costo. ","")&amp;IF(D34="","Falta partida. ","")&amp;IF(E34="","Falta fecha. ","")&amp;IF(F34="","Falta concepto. ","")&amp;IF(G34="","Falta proveedor. ","")&amp;IF(I34="","Falta monto. ","")&amp;IF(AND(I34&lt;&gt;"",I34&lt;=0),"Monto inválido. ","")&amp;IF(AND(COUNTA(J34:M34)&gt;0,OR(J34="",K34="",L34="",M34="")),"Completa los 4 campos de moneda extranjera. ","")&amp;IF(AND(J34&lt;&gt;"",COUNTIF(Catalogos!$F$6,J34)=0),"Moneda de factura inválida. ","")&amp;IF(AND(K34&lt;&gt;"",K34&lt;=0),"Monto de factura inválido. ","")&amp;IF(AND(L34&lt;&gt;"",L34&lt;=0),"Tipo de cambio inválido. ","")))</f>
        <v/>
      </c>
    </row>
    <row r="35" ht="22" customHeight="1">
      <c r="A35" s="17" t="str">
        <f t="shared" si="2"/>
        <v/>
      </c>
      <c r="B35" s="18"/>
      <c r="C35" s="18"/>
      <c r="D35" s="18"/>
      <c r="E35" s="19"/>
      <c r="F35" s="18"/>
      <c r="G35" s="18"/>
      <c r="H35" s="20"/>
      <c r="I35" s="21"/>
      <c r="J35" s="22"/>
      <c r="K35" s="21"/>
      <c r="L35" s="23"/>
      <c r="M35" s="19"/>
      <c r="N35" s="18"/>
      <c r="O35" s="24" t="str">
        <f t="shared" si="3"/>
        <v/>
      </c>
      <c r="P35" s="25" t="str">
        <f>IF(COUNTA(B35:N35)=0,"",TRIM(IF(B35="","Falta categoría. ","")&amp;IF(AND(B35&lt;&gt;"",COUNTIF(Catalogos!$B$6:$B$12,B35)=0),"Categoría inválida. ","")&amp;IF(C35="","Falta centro de costo. ","")&amp;IF(D35="","Falta partida. ","")&amp;IF(E35="","Falta fecha. ","")&amp;IF(F35="","Falta concepto. ","")&amp;IF(G35="","Falta proveedor. ","")&amp;IF(I35="","Falta monto. ","")&amp;IF(AND(I35&lt;&gt;"",I35&lt;=0),"Monto inválido. ","")&amp;IF(AND(COUNTA(J35:M35)&gt;0,OR(J35="",K35="",L35="",M35="")),"Completa los 4 campos de moneda extranjera. ","")&amp;IF(AND(J35&lt;&gt;"",COUNTIF(Catalogos!$F$6,J35)=0),"Moneda de factura inválida. ","")&amp;IF(AND(K35&lt;&gt;"",K35&lt;=0),"Monto de factura inválido. ","")&amp;IF(AND(L35&lt;&gt;"",L35&lt;=0),"Tipo de cambio inválido. ","")))</f>
        <v/>
      </c>
    </row>
    <row r="36" ht="22" customHeight="1">
      <c r="A36" s="17" t="str">
        <f t="shared" si="2"/>
        <v/>
      </c>
      <c r="B36" s="18"/>
      <c r="C36" s="18"/>
      <c r="D36" s="18"/>
      <c r="E36" s="19"/>
      <c r="F36" s="18"/>
      <c r="G36" s="18"/>
      <c r="H36" s="20"/>
      <c r="I36" s="21"/>
      <c r="J36" s="22"/>
      <c r="K36" s="21"/>
      <c r="L36" s="23"/>
      <c r="M36" s="19"/>
      <c r="N36" s="18"/>
      <c r="O36" s="24" t="str">
        <f t="shared" si="3"/>
        <v/>
      </c>
      <c r="P36" s="25" t="str">
        <f>IF(COUNTA(B36:N36)=0,"",TRIM(IF(B36="","Falta categoría. ","")&amp;IF(AND(B36&lt;&gt;"",COUNTIF(Catalogos!$B$6:$B$12,B36)=0),"Categoría inválida. ","")&amp;IF(C36="","Falta centro de costo. ","")&amp;IF(D36="","Falta partida. ","")&amp;IF(E36="","Falta fecha. ","")&amp;IF(F36="","Falta concepto. ","")&amp;IF(G36="","Falta proveedor. ","")&amp;IF(I36="","Falta monto. ","")&amp;IF(AND(I36&lt;&gt;"",I36&lt;=0),"Monto inválido. ","")&amp;IF(AND(COUNTA(J36:M36)&gt;0,OR(J36="",K36="",L36="",M36="")),"Completa los 4 campos de moneda extranjera. ","")&amp;IF(AND(J36&lt;&gt;"",COUNTIF(Catalogos!$F$6,J36)=0),"Moneda de factura inválida. ","")&amp;IF(AND(K36&lt;&gt;"",K36&lt;=0),"Monto de factura inválido. ","")&amp;IF(AND(L36&lt;&gt;"",L36&lt;=0),"Tipo de cambio inválido. ","")))</f>
        <v/>
      </c>
    </row>
    <row r="37" ht="22" customHeight="1">
      <c r="A37" s="17" t="str">
        <f t="shared" si="2"/>
        <v/>
      </c>
      <c r="B37" s="18"/>
      <c r="C37" s="18"/>
      <c r="D37" s="18"/>
      <c r="E37" s="19"/>
      <c r="F37" s="18"/>
      <c r="G37" s="18"/>
      <c r="H37" s="20"/>
      <c r="I37" s="21"/>
      <c r="J37" s="22"/>
      <c r="K37" s="21"/>
      <c r="L37" s="23"/>
      <c r="M37" s="19"/>
      <c r="N37" s="18"/>
      <c r="O37" s="24" t="str">
        <f t="shared" si="3"/>
        <v/>
      </c>
      <c r="P37" s="25" t="str">
        <f>IF(COUNTA(B37:N37)=0,"",TRIM(IF(B37="","Falta categoría. ","")&amp;IF(AND(B37&lt;&gt;"",COUNTIF(Catalogos!$B$6:$B$12,B37)=0),"Categoría inválida. ","")&amp;IF(C37="","Falta centro de costo. ","")&amp;IF(D37="","Falta partida. ","")&amp;IF(E37="","Falta fecha. ","")&amp;IF(F37="","Falta concepto. ","")&amp;IF(G37="","Falta proveedor. ","")&amp;IF(I37="","Falta monto. ","")&amp;IF(AND(I37&lt;&gt;"",I37&lt;=0),"Monto inválido. ","")&amp;IF(AND(COUNTA(J37:M37)&gt;0,OR(J37="",K37="",L37="",M37="")),"Completa los 4 campos de moneda extranjera. ","")&amp;IF(AND(J37&lt;&gt;"",COUNTIF(Catalogos!$F$6,J37)=0),"Moneda de factura inválida. ","")&amp;IF(AND(K37&lt;&gt;"",K37&lt;=0),"Monto de factura inválido. ","")&amp;IF(AND(L37&lt;&gt;"",L37&lt;=0),"Tipo de cambio inválido. ","")))</f>
        <v/>
      </c>
    </row>
    <row r="38" ht="22" customHeight="1">
      <c r="A38" s="17" t="str">
        <f t="shared" si="2"/>
        <v/>
      </c>
      <c r="B38" s="18"/>
      <c r="C38" s="18"/>
      <c r="D38" s="18"/>
      <c r="E38" s="19"/>
      <c r="F38" s="18"/>
      <c r="G38" s="18"/>
      <c r="H38" s="20"/>
      <c r="I38" s="21"/>
      <c r="J38" s="22"/>
      <c r="K38" s="21"/>
      <c r="L38" s="23"/>
      <c r="M38" s="19"/>
      <c r="N38" s="18"/>
      <c r="O38" s="24" t="str">
        <f t="shared" si="3"/>
        <v/>
      </c>
      <c r="P38" s="25" t="str">
        <f>IF(COUNTA(B38:N38)=0,"",TRIM(IF(B38="","Falta categoría. ","")&amp;IF(AND(B38&lt;&gt;"",COUNTIF(Catalogos!$B$6:$B$12,B38)=0),"Categoría inválida. ","")&amp;IF(C38="","Falta centro de costo. ","")&amp;IF(D38="","Falta partida. ","")&amp;IF(E38="","Falta fecha. ","")&amp;IF(F38="","Falta concepto. ","")&amp;IF(G38="","Falta proveedor. ","")&amp;IF(I38="","Falta monto. ","")&amp;IF(AND(I38&lt;&gt;"",I38&lt;=0),"Monto inválido. ","")&amp;IF(AND(COUNTA(J38:M38)&gt;0,OR(J38="",K38="",L38="",M38="")),"Completa los 4 campos de moneda extranjera. ","")&amp;IF(AND(J38&lt;&gt;"",COUNTIF(Catalogos!$F$6,J38)=0),"Moneda de factura inválida. ","")&amp;IF(AND(K38&lt;&gt;"",K38&lt;=0),"Monto de factura inválido. ","")&amp;IF(AND(L38&lt;&gt;"",L38&lt;=0),"Tipo de cambio inválido. ","")))</f>
        <v/>
      </c>
    </row>
    <row r="39" ht="22" customHeight="1">
      <c r="A39" s="17" t="str">
        <f t="shared" si="2"/>
        <v/>
      </c>
      <c r="B39" s="18"/>
      <c r="C39" s="18"/>
      <c r="D39" s="18"/>
      <c r="E39" s="19"/>
      <c r="F39" s="18"/>
      <c r="G39" s="18"/>
      <c r="H39" s="20"/>
      <c r="I39" s="21"/>
      <c r="J39" s="22"/>
      <c r="K39" s="21"/>
      <c r="L39" s="23"/>
      <c r="M39" s="19"/>
      <c r="N39" s="18"/>
      <c r="O39" s="24" t="str">
        <f t="shared" si="3"/>
        <v/>
      </c>
      <c r="P39" s="25" t="str">
        <f>IF(COUNTA(B39:N39)=0,"",TRIM(IF(B39="","Falta categoría. ","")&amp;IF(AND(B39&lt;&gt;"",COUNTIF(Catalogos!$B$6:$B$12,B39)=0),"Categoría inválida. ","")&amp;IF(C39="","Falta centro de costo. ","")&amp;IF(D39="","Falta partida. ","")&amp;IF(E39="","Falta fecha. ","")&amp;IF(F39="","Falta concepto. ","")&amp;IF(G39="","Falta proveedor. ","")&amp;IF(I39="","Falta monto. ","")&amp;IF(AND(I39&lt;&gt;"",I39&lt;=0),"Monto inválido. ","")&amp;IF(AND(COUNTA(J39:M39)&gt;0,OR(J39="",K39="",L39="",M39="")),"Completa los 4 campos de moneda extranjera. ","")&amp;IF(AND(J39&lt;&gt;"",COUNTIF(Catalogos!$F$6,J39)=0),"Moneda de factura inválida. ","")&amp;IF(AND(K39&lt;&gt;"",K39&lt;=0),"Monto de factura inválido. ","")&amp;IF(AND(L39&lt;&gt;"",L39&lt;=0),"Tipo de cambio inválido. ","")))</f>
        <v/>
      </c>
    </row>
    <row r="40" ht="22" customHeight="1">
      <c r="A40" s="17" t="str">
        <f t="shared" si="2"/>
        <v/>
      </c>
      <c r="B40" s="18"/>
      <c r="C40" s="18"/>
      <c r="D40" s="18"/>
      <c r="E40" s="19"/>
      <c r="F40" s="18"/>
      <c r="G40" s="18"/>
      <c r="H40" s="20"/>
      <c r="I40" s="21"/>
      <c r="J40" s="22"/>
      <c r="K40" s="21"/>
      <c r="L40" s="23"/>
      <c r="M40" s="19"/>
      <c r="N40" s="18"/>
      <c r="O40" s="24" t="str">
        <f t="shared" si="3"/>
        <v/>
      </c>
      <c r="P40" s="25" t="str">
        <f>IF(COUNTA(B40:N40)=0,"",TRIM(IF(B40="","Falta categoría. ","")&amp;IF(AND(B40&lt;&gt;"",COUNTIF(Catalogos!$B$6:$B$12,B40)=0),"Categoría inválida. ","")&amp;IF(C40="","Falta centro de costo. ","")&amp;IF(D40="","Falta partida. ","")&amp;IF(E40="","Falta fecha. ","")&amp;IF(F40="","Falta concepto. ","")&amp;IF(G40="","Falta proveedor. ","")&amp;IF(I40="","Falta monto. ","")&amp;IF(AND(I40&lt;&gt;"",I40&lt;=0),"Monto inválido. ","")&amp;IF(AND(COUNTA(J40:M40)&gt;0,OR(J40="",K40="",L40="",M40="")),"Completa los 4 campos de moneda extranjera. ","")&amp;IF(AND(J40&lt;&gt;"",COUNTIF(Catalogos!$F$6,J40)=0),"Moneda de factura inválida. ","")&amp;IF(AND(K40&lt;&gt;"",K40&lt;=0),"Monto de factura inválido. ","")&amp;IF(AND(L40&lt;&gt;"",L40&lt;=0),"Tipo de cambio inválido. ","")))</f>
        <v/>
      </c>
    </row>
    <row r="41" ht="22" customHeight="1">
      <c r="A41" s="17" t="str">
        <f t="shared" si="2"/>
        <v/>
      </c>
      <c r="B41" s="18"/>
      <c r="C41" s="18"/>
      <c r="D41" s="18"/>
      <c r="E41" s="19"/>
      <c r="F41" s="18"/>
      <c r="G41" s="18"/>
      <c r="H41" s="20"/>
      <c r="I41" s="21"/>
      <c r="J41" s="22"/>
      <c r="K41" s="21"/>
      <c r="L41" s="23"/>
      <c r="M41" s="19"/>
      <c r="N41" s="18"/>
      <c r="O41" s="24" t="str">
        <f t="shared" si="3"/>
        <v/>
      </c>
      <c r="P41" s="25" t="str">
        <f>IF(COUNTA(B41:N41)=0,"",TRIM(IF(B41="","Falta categoría. ","")&amp;IF(AND(B41&lt;&gt;"",COUNTIF(Catalogos!$B$6:$B$12,B41)=0),"Categoría inválida. ","")&amp;IF(C41="","Falta centro de costo. ","")&amp;IF(D41="","Falta partida. ","")&amp;IF(E41="","Falta fecha. ","")&amp;IF(F41="","Falta concepto. ","")&amp;IF(G41="","Falta proveedor. ","")&amp;IF(I41="","Falta monto. ","")&amp;IF(AND(I41&lt;&gt;"",I41&lt;=0),"Monto inválido. ","")&amp;IF(AND(COUNTA(J41:M41)&gt;0,OR(J41="",K41="",L41="",M41="")),"Completa los 4 campos de moneda extranjera. ","")&amp;IF(AND(J41&lt;&gt;"",COUNTIF(Catalogos!$F$6,J41)=0),"Moneda de factura inválida. ","")&amp;IF(AND(K41&lt;&gt;"",K41&lt;=0),"Monto de factura inválido. ","")&amp;IF(AND(L41&lt;&gt;"",L41&lt;=0),"Tipo de cambio inválido. ","")))</f>
        <v/>
      </c>
    </row>
    <row r="42" ht="22" customHeight="1">
      <c r="A42" s="17" t="str">
        <f t="shared" si="2"/>
        <v/>
      </c>
      <c r="B42" s="18"/>
      <c r="C42" s="18"/>
      <c r="D42" s="18"/>
      <c r="E42" s="19"/>
      <c r="F42" s="18"/>
      <c r="G42" s="18"/>
      <c r="H42" s="20"/>
      <c r="I42" s="21"/>
      <c r="J42" s="22"/>
      <c r="K42" s="21"/>
      <c r="L42" s="23"/>
      <c r="M42" s="19"/>
      <c r="N42" s="18"/>
      <c r="O42" s="24" t="str">
        <f t="shared" si="3"/>
        <v/>
      </c>
      <c r="P42" s="25" t="str">
        <f>IF(COUNTA(B42:N42)=0,"",TRIM(IF(B42="","Falta categoría. ","")&amp;IF(AND(B42&lt;&gt;"",COUNTIF(Catalogos!$B$6:$B$12,B42)=0),"Categoría inválida. ","")&amp;IF(C42="","Falta centro de costo. ","")&amp;IF(D42="","Falta partida. ","")&amp;IF(E42="","Falta fecha. ","")&amp;IF(F42="","Falta concepto. ","")&amp;IF(G42="","Falta proveedor. ","")&amp;IF(I42="","Falta monto. ","")&amp;IF(AND(I42&lt;&gt;"",I42&lt;=0),"Monto inválido. ","")&amp;IF(AND(COUNTA(J42:M42)&gt;0,OR(J42="",K42="",L42="",M42="")),"Completa los 4 campos de moneda extranjera. ","")&amp;IF(AND(J42&lt;&gt;"",COUNTIF(Catalogos!$F$6,J42)=0),"Moneda de factura inválida. ","")&amp;IF(AND(K42&lt;&gt;"",K42&lt;=0),"Monto de factura inválido. ","")&amp;IF(AND(L42&lt;&gt;"",L42&lt;=0),"Tipo de cambio inválido. ","")))</f>
        <v/>
      </c>
    </row>
    <row r="43" ht="22" customHeight="1">
      <c r="A43" s="17" t="str">
        <f t="shared" si="2"/>
        <v/>
      </c>
      <c r="B43" s="18"/>
      <c r="C43" s="18"/>
      <c r="D43" s="18"/>
      <c r="E43" s="19"/>
      <c r="F43" s="18"/>
      <c r="G43" s="18"/>
      <c r="H43" s="20"/>
      <c r="I43" s="21"/>
      <c r="J43" s="22"/>
      <c r="K43" s="21"/>
      <c r="L43" s="23"/>
      <c r="M43" s="19"/>
      <c r="N43" s="18"/>
      <c r="O43" s="24" t="str">
        <f t="shared" si="3"/>
        <v/>
      </c>
      <c r="P43" s="25" t="str">
        <f>IF(COUNTA(B43:N43)=0,"",TRIM(IF(B43="","Falta categoría. ","")&amp;IF(AND(B43&lt;&gt;"",COUNTIF(Catalogos!$B$6:$B$12,B43)=0),"Categoría inválida. ","")&amp;IF(C43="","Falta centro de costo. ","")&amp;IF(D43="","Falta partida. ","")&amp;IF(E43="","Falta fecha. ","")&amp;IF(F43="","Falta concepto. ","")&amp;IF(G43="","Falta proveedor. ","")&amp;IF(I43="","Falta monto. ","")&amp;IF(AND(I43&lt;&gt;"",I43&lt;=0),"Monto inválido. ","")&amp;IF(AND(COUNTA(J43:M43)&gt;0,OR(J43="",K43="",L43="",M43="")),"Completa los 4 campos de moneda extranjera. ","")&amp;IF(AND(J43&lt;&gt;"",COUNTIF(Catalogos!$F$6,J43)=0),"Moneda de factura inválida. ","")&amp;IF(AND(K43&lt;&gt;"",K43&lt;=0),"Monto de factura inválido. ","")&amp;IF(AND(L43&lt;&gt;"",L43&lt;=0),"Tipo de cambio inválido. ","")))</f>
        <v/>
      </c>
    </row>
    <row r="44" ht="22" customHeight="1">
      <c r="A44" s="17" t="str">
        <f t="shared" si="2"/>
        <v/>
      </c>
      <c r="B44" s="18"/>
      <c r="C44" s="18"/>
      <c r="D44" s="18"/>
      <c r="E44" s="19"/>
      <c r="F44" s="18"/>
      <c r="G44" s="18"/>
      <c r="H44" s="20"/>
      <c r="I44" s="21"/>
      <c r="J44" s="22"/>
      <c r="K44" s="21"/>
      <c r="L44" s="23"/>
      <c r="M44" s="19"/>
      <c r="N44" s="18"/>
      <c r="O44" s="24" t="str">
        <f t="shared" si="3"/>
        <v/>
      </c>
      <c r="P44" s="25" t="str">
        <f>IF(COUNTA(B44:N44)=0,"",TRIM(IF(B44="","Falta categoría. ","")&amp;IF(AND(B44&lt;&gt;"",COUNTIF(Catalogos!$B$6:$B$12,B44)=0),"Categoría inválida. ","")&amp;IF(C44="","Falta centro de costo. ","")&amp;IF(D44="","Falta partida. ","")&amp;IF(E44="","Falta fecha. ","")&amp;IF(F44="","Falta concepto. ","")&amp;IF(G44="","Falta proveedor. ","")&amp;IF(I44="","Falta monto. ","")&amp;IF(AND(I44&lt;&gt;"",I44&lt;=0),"Monto inválido. ","")&amp;IF(AND(COUNTA(J44:M44)&gt;0,OR(J44="",K44="",L44="",M44="")),"Completa los 4 campos de moneda extranjera. ","")&amp;IF(AND(J44&lt;&gt;"",COUNTIF(Catalogos!$F$6,J44)=0),"Moneda de factura inválida. ","")&amp;IF(AND(K44&lt;&gt;"",K44&lt;=0),"Monto de factura inválido. ","")&amp;IF(AND(L44&lt;&gt;"",L44&lt;=0),"Tipo de cambio inválido. ","")))</f>
        <v/>
      </c>
    </row>
    <row r="45" ht="22" customHeight="1">
      <c r="A45" s="17" t="str">
        <f t="shared" si="2"/>
        <v/>
      </c>
      <c r="B45" s="18"/>
      <c r="C45" s="18"/>
      <c r="D45" s="18"/>
      <c r="E45" s="19"/>
      <c r="F45" s="18"/>
      <c r="G45" s="18"/>
      <c r="H45" s="20"/>
      <c r="I45" s="21"/>
      <c r="J45" s="22"/>
      <c r="K45" s="21"/>
      <c r="L45" s="23"/>
      <c r="M45" s="19"/>
      <c r="N45" s="18"/>
      <c r="O45" s="24" t="str">
        <f t="shared" si="3"/>
        <v/>
      </c>
      <c r="P45" s="25" t="str">
        <f>IF(COUNTA(B45:N45)=0,"",TRIM(IF(B45="","Falta categoría. ","")&amp;IF(AND(B45&lt;&gt;"",COUNTIF(Catalogos!$B$6:$B$12,B45)=0),"Categoría inválida. ","")&amp;IF(C45="","Falta centro de costo. ","")&amp;IF(D45="","Falta partida. ","")&amp;IF(E45="","Falta fecha. ","")&amp;IF(F45="","Falta concepto. ","")&amp;IF(G45="","Falta proveedor. ","")&amp;IF(I45="","Falta monto. ","")&amp;IF(AND(I45&lt;&gt;"",I45&lt;=0),"Monto inválido. ","")&amp;IF(AND(COUNTA(J45:M45)&gt;0,OR(J45="",K45="",L45="",M45="")),"Completa los 4 campos de moneda extranjera. ","")&amp;IF(AND(J45&lt;&gt;"",COUNTIF(Catalogos!$F$6,J45)=0),"Moneda de factura inválida. ","")&amp;IF(AND(K45&lt;&gt;"",K45&lt;=0),"Monto de factura inválido. ","")&amp;IF(AND(L45&lt;&gt;"",L45&lt;=0),"Tipo de cambio inválido. ","")))</f>
        <v/>
      </c>
    </row>
    <row r="46" ht="22" customHeight="1">
      <c r="A46" s="17" t="str">
        <f t="shared" si="2"/>
        <v/>
      </c>
      <c r="B46" s="18"/>
      <c r="C46" s="18"/>
      <c r="D46" s="18"/>
      <c r="E46" s="19"/>
      <c r="F46" s="18"/>
      <c r="G46" s="18"/>
      <c r="H46" s="20"/>
      <c r="I46" s="21"/>
      <c r="J46" s="22"/>
      <c r="K46" s="21"/>
      <c r="L46" s="23"/>
      <c r="M46" s="19"/>
      <c r="N46" s="18"/>
      <c r="O46" s="24" t="str">
        <f t="shared" si="3"/>
        <v/>
      </c>
      <c r="P46" s="25" t="str">
        <f>IF(COUNTA(B46:N46)=0,"",TRIM(IF(B46="","Falta categoría. ","")&amp;IF(AND(B46&lt;&gt;"",COUNTIF(Catalogos!$B$6:$B$12,B46)=0),"Categoría inválida. ","")&amp;IF(C46="","Falta centro de costo. ","")&amp;IF(D46="","Falta partida. ","")&amp;IF(E46="","Falta fecha. ","")&amp;IF(F46="","Falta concepto. ","")&amp;IF(G46="","Falta proveedor. ","")&amp;IF(I46="","Falta monto. ","")&amp;IF(AND(I46&lt;&gt;"",I46&lt;=0),"Monto inválido. ","")&amp;IF(AND(COUNTA(J46:M46)&gt;0,OR(J46="",K46="",L46="",M46="")),"Completa los 4 campos de moneda extranjera. ","")&amp;IF(AND(J46&lt;&gt;"",COUNTIF(Catalogos!$F$6,J46)=0),"Moneda de factura inválida. ","")&amp;IF(AND(K46&lt;&gt;"",K46&lt;=0),"Monto de factura inválido. ","")&amp;IF(AND(L46&lt;&gt;"",L46&lt;=0),"Tipo de cambio inválido. ","")))</f>
        <v/>
      </c>
    </row>
    <row r="47" ht="22" customHeight="1">
      <c r="A47" s="17" t="str">
        <f t="shared" si="2"/>
        <v/>
      </c>
      <c r="B47" s="18"/>
      <c r="C47" s="18"/>
      <c r="D47" s="18"/>
      <c r="E47" s="19"/>
      <c r="F47" s="18"/>
      <c r="G47" s="18"/>
      <c r="H47" s="20"/>
      <c r="I47" s="21"/>
      <c r="J47" s="22"/>
      <c r="K47" s="21"/>
      <c r="L47" s="23"/>
      <c r="M47" s="19"/>
      <c r="N47" s="18"/>
      <c r="O47" s="24" t="str">
        <f t="shared" si="3"/>
        <v/>
      </c>
      <c r="P47" s="25" t="str">
        <f>IF(COUNTA(B47:N47)=0,"",TRIM(IF(B47="","Falta categoría. ","")&amp;IF(AND(B47&lt;&gt;"",COUNTIF(Catalogos!$B$6:$B$12,B47)=0),"Categoría inválida. ","")&amp;IF(C47="","Falta centro de costo. ","")&amp;IF(D47="","Falta partida. ","")&amp;IF(E47="","Falta fecha. ","")&amp;IF(F47="","Falta concepto. ","")&amp;IF(G47="","Falta proveedor. ","")&amp;IF(I47="","Falta monto. ","")&amp;IF(AND(I47&lt;&gt;"",I47&lt;=0),"Monto inválido. ","")&amp;IF(AND(COUNTA(J47:M47)&gt;0,OR(J47="",K47="",L47="",M47="")),"Completa los 4 campos de moneda extranjera. ","")&amp;IF(AND(J47&lt;&gt;"",COUNTIF(Catalogos!$F$6,J47)=0),"Moneda de factura inválida. ","")&amp;IF(AND(K47&lt;&gt;"",K47&lt;=0),"Monto de factura inválido. ","")&amp;IF(AND(L47&lt;&gt;"",L47&lt;=0),"Tipo de cambio inválido. ","")))</f>
        <v/>
      </c>
    </row>
    <row r="48" ht="22" customHeight="1">
      <c r="A48" s="17" t="str">
        <f t="shared" si="2"/>
        <v/>
      </c>
      <c r="B48" s="18"/>
      <c r="C48" s="18"/>
      <c r="D48" s="18"/>
      <c r="E48" s="19"/>
      <c r="F48" s="18"/>
      <c r="G48" s="18"/>
      <c r="H48" s="20"/>
      <c r="I48" s="21"/>
      <c r="J48" s="22"/>
      <c r="K48" s="21"/>
      <c r="L48" s="23"/>
      <c r="M48" s="19"/>
      <c r="N48" s="18"/>
      <c r="O48" s="24" t="str">
        <f t="shared" si="3"/>
        <v/>
      </c>
      <c r="P48" s="25" t="str">
        <f>IF(COUNTA(B48:N48)=0,"",TRIM(IF(B48="","Falta categoría. ","")&amp;IF(AND(B48&lt;&gt;"",COUNTIF(Catalogos!$B$6:$B$12,B48)=0),"Categoría inválida. ","")&amp;IF(C48="","Falta centro de costo. ","")&amp;IF(D48="","Falta partida. ","")&amp;IF(E48="","Falta fecha. ","")&amp;IF(F48="","Falta concepto. ","")&amp;IF(G48="","Falta proveedor. ","")&amp;IF(I48="","Falta monto. ","")&amp;IF(AND(I48&lt;&gt;"",I48&lt;=0),"Monto inválido. ","")&amp;IF(AND(COUNTA(J48:M48)&gt;0,OR(J48="",K48="",L48="",M48="")),"Completa los 4 campos de moneda extranjera. ","")&amp;IF(AND(J48&lt;&gt;"",COUNTIF(Catalogos!$F$6,J48)=0),"Moneda de factura inválida. ","")&amp;IF(AND(K48&lt;&gt;"",K48&lt;=0),"Monto de factura inválido. ","")&amp;IF(AND(L48&lt;&gt;"",L48&lt;=0),"Tipo de cambio inválido. ","")))</f>
        <v/>
      </c>
    </row>
    <row r="49" ht="22" customHeight="1">
      <c r="A49" s="17" t="str">
        <f t="shared" si="2"/>
        <v/>
      </c>
      <c r="B49" s="18"/>
      <c r="C49" s="18"/>
      <c r="D49" s="18"/>
      <c r="E49" s="19"/>
      <c r="F49" s="18"/>
      <c r="G49" s="18"/>
      <c r="H49" s="20"/>
      <c r="I49" s="21"/>
      <c r="J49" s="22"/>
      <c r="K49" s="21"/>
      <c r="L49" s="23"/>
      <c r="M49" s="19"/>
      <c r="N49" s="18"/>
      <c r="O49" s="24" t="str">
        <f t="shared" si="3"/>
        <v/>
      </c>
      <c r="P49" s="25" t="str">
        <f>IF(COUNTA(B49:N49)=0,"",TRIM(IF(B49="","Falta categoría. ","")&amp;IF(AND(B49&lt;&gt;"",COUNTIF(Catalogos!$B$6:$B$12,B49)=0),"Categoría inválida. ","")&amp;IF(C49="","Falta centro de costo. ","")&amp;IF(D49="","Falta partida. ","")&amp;IF(E49="","Falta fecha. ","")&amp;IF(F49="","Falta concepto. ","")&amp;IF(G49="","Falta proveedor. ","")&amp;IF(I49="","Falta monto. ","")&amp;IF(AND(I49&lt;&gt;"",I49&lt;=0),"Monto inválido. ","")&amp;IF(AND(COUNTA(J49:M49)&gt;0,OR(J49="",K49="",L49="",M49="")),"Completa los 4 campos de moneda extranjera. ","")&amp;IF(AND(J49&lt;&gt;"",COUNTIF(Catalogos!$F$6,J49)=0),"Moneda de factura inválida. ","")&amp;IF(AND(K49&lt;&gt;"",K49&lt;=0),"Monto de factura inválido. ","")&amp;IF(AND(L49&lt;&gt;"",L49&lt;=0),"Tipo de cambio inválido. ","")))</f>
        <v/>
      </c>
    </row>
    <row r="50" ht="22" customHeight="1">
      <c r="A50" s="17" t="str">
        <f t="shared" si="2"/>
        <v/>
      </c>
      <c r="B50" s="18"/>
      <c r="C50" s="18"/>
      <c r="D50" s="18"/>
      <c r="E50" s="19"/>
      <c r="F50" s="18"/>
      <c r="G50" s="18"/>
      <c r="H50" s="20"/>
      <c r="I50" s="21"/>
      <c r="J50" s="22"/>
      <c r="K50" s="21"/>
      <c r="L50" s="23"/>
      <c r="M50" s="19"/>
      <c r="N50" s="18"/>
      <c r="O50" s="24" t="str">
        <f t="shared" si="3"/>
        <v/>
      </c>
      <c r="P50" s="25" t="str">
        <f>IF(COUNTA(B50:N50)=0,"",TRIM(IF(B50="","Falta categoría. ","")&amp;IF(AND(B50&lt;&gt;"",COUNTIF(Catalogos!$B$6:$B$12,B50)=0),"Categoría inválida. ","")&amp;IF(C50="","Falta centro de costo. ","")&amp;IF(D50="","Falta partida. ","")&amp;IF(E50="","Falta fecha. ","")&amp;IF(F50="","Falta concepto. ","")&amp;IF(G50="","Falta proveedor. ","")&amp;IF(I50="","Falta monto. ","")&amp;IF(AND(I50&lt;&gt;"",I50&lt;=0),"Monto inválido. ","")&amp;IF(AND(COUNTA(J50:M50)&gt;0,OR(J50="",K50="",L50="",M50="")),"Completa los 4 campos de moneda extranjera. ","")&amp;IF(AND(J50&lt;&gt;"",COUNTIF(Catalogos!$F$6,J50)=0),"Moneda de factura inválida. ","")&amp;IF(AND(K50&lt;&gt;"",K50&lt;=0),"Monto de factura inválido. ","")&amp;IF(AND(L50&lt;&gt;"",L50&lt;=0),"Tipo de cambio inválido. ","")))</f>
        <v/>
      </c>
    </row>
    <row r="51" ht="22" customHeight="1">
      <c r="A51" s="17" t="str">
        <f t="shared" si="2"/>
        <v/>
      </c>
      <c r="B51" s="18"/>
      <c r="C51" s="18"/>
      <c r="D51" s="18"/>
      <c r="E51" s="19"/>
      <c r="F51" s="18"/>
      <c r="G51" s="18"/>
      <c r="H51" s="20"/>
      <c r="I51" s="21"/>
      <c r="J51" s="22"/>
      <c r="K51" s="21"/>
      <c r="L51" s="23"/>
      <c r="M51" s="19"/>
      <c r="N51" s="18"/>
      <c r="O51" s="24" t="str">
        <f t="shared" si="3"/>
        <v/>
      </c>
      <c r="P51" s="25" t="str">
        <f>IF(COUNTA(B51:N51)=0,"",TRIM(IF(B51="","Falta categoría. ","")&amp;IF(AND(B51&lt;&gt;"",COUNTIF(Catalogos!$B$6:$B$12,B51)=0),"Categoría inválida. ","")&amp;IF(C51="","Falta centro de costo. ","")&amp;IF(D51="","Falta partida. ","")&amp;IF(E51="","Falta fecha. ","")&amp;IF(F51="","Falta concepto. ","")&amp;IF(G51="","Falta proveedor. ","")&amp;IF(I51="","Falta monto. ","")&amp;IF(AND(I51&lt;&gt;"",I51&lt;=0),"Monto inválido. ","")&amp;IF(AND(COUNTA(J51:M51)&gt;0,OR(J51="",K51="",L51="",M51="")),"Completa los 4 campos de moneda extranjera. ","")&amp;IF(AND(J51&lt;&gt;"",COUNTIF(Catalogos!$F$6,J51)=0),"Moneda de factura inválida. ","")&amp;IF(AND(K51&lt;&gt;"",K51&lt;=0),"Monto de factura inválido. ","")&amp;IF(AND(L51&lt;&gt;"",L51&lt;=0),"Tipo de cambio inválido. ","")))</f>
        <v/>
      </c>
    </row>
    <row r="52" ht="22" customHeight="1">
      <c r="A52" s="17" t="str">
        <f t="shared" si="2"/>
        <v/>
      </c>
      <c r="B52" s="18"/>
      <c r="C52" s="18"/>
      <c r="D52" s="18"/>
      <c r="E52" s="19"/>
      <c r="F52" s="18"/>
      <c r="G52" s="18"/>
      <c r="H52" s="20"/>
      <c r="I52" s="21"/>
      <c r="J52" s="22"/>
      <c r="K52" s="21"/>
      <c r="L52" s="23"/>
      <c r="M52" s="19"/>
      <c r="N52" s="18"/>
      <c r="O52" s="24" t="str">
        <f t="shared" si="3"/>
        <v/>
      </c>
      <c r="P52" s="25" t="str">
        <f>IF(COUNTA(B52:N52)=0,"",TRIM(IF(B52="","Falta categoría. ","")&amp;IF(AND(B52&lt;&gt;"",COUNTIF(Catalogos!$B$6:$B$12,B52)=0),"Categoría inválida. ","")&amp;IF(C52="","Falta centro de costo. ","")&amp;IF(D52="","Falta partida. ","")&amp;IF(E52="","Falta fecha. ","")&amp;IF(F52="","Falta concepto. ","")&amp;IF(G52="","Falta proveedor. ","")&amp;IF(I52="","Falta monto. ","")&amp;IF(AND(I52&lt;&gt;"",I52&lt;=0),"Monto inválido. ","")&amp;IF(AND(COUNTA(J52:M52)&gt;0,OR(J52="",K52="",L52="",M52="")),"Completa los 4 campos de moneda extranjera. ","")&amp;IF(AND(J52&lt;&gt;"",COUNTIF(Catalogos!$F$6,J52)=0),"Moneda de factura inválida. ","")&amp;IF(AND(K52&lt;&gt;"",K52&lt;=0),"Monto de factura inválido. ","")&amp;IF(AND(L52&lt;&gt;"",L52&lt;=0),"Tipo de cambio inválido. ","")))</f>
        <v/>
      </c>
    </row>
    <row r="53" ht="22" customHeight="1">
      <c r="A53" s="17" t="str">
        <f t="shared" si="2"/>
        <v/>
      </c>
      <c r="B53" s="18"/>
      <c r="C53" s="18"/>
      <c r="D53" s="18"/>
      <c r="E53" s="19"/>
      <c r="F53" s="18"/>
      <c r="G53" s="18"/>
      <c r="H53" s="20"/>
      <c r="I53" s="21"/>
      <c r="J53" s="22"/>
      <c r="K53" s="21"/>
      <c r="L53" s="23"/>
      <c r="M53" s="19"/>
      <c r="N53" s="18"/>
      <c r="O53" s="24" t="str">
        <f t="shared" si="3"/>
        <v/>
      </c>
      <c r="P53" s="25" t="str">
        <f>IF(COUNTA(B53:N53)=0,"",TRIM(IF(B53="","Falta categoría. ","")&amp;IF(AND(B53&lt;&gt;"",COUNTIF(Catalogos!$B$6:$B$12,B53)=0),"Categoría inválida. ","")&amp;IF(C53="","Falta centro de costo. ","")&amp;IF(D53="","Falta partida. ","")&amp;IF(E53="","Falta fecha. ","")&amp;IF(F53="","Falta concepto. ","")&amp;IF(G53="","Falta proveedor. ","")&amp;IF(I53="","Falta monto. ","")&amp;IF(AND(I53&lt;&gt;"",I53&lt;=0),"Monto inválido. ","")&amp;IF(AND(COUNTA(J53:M53)&gt;0,OR(J53="",K53="",L53="",M53="")),"Completa los 4 campos de moneda extranjera. ","")&amp;IF(AND(J53&lt;&gt;"",COUNTIF(Catalogos!$F$6,J53)=0),"Moneda de factura inválida. ","")&amp;IF(AND(K53&lt;&gt;"",K53&lt;=0),"Monto de factura inválido. ","")&amp;IF(AND(L53&lt;&gt;"",L53&lt;=0),"Tipo de cambio inválido. ","")))</f>
        <v/>
      </c>
    </row>
    <row r="54" ht="22" customHeight="1">
      <c r="A54" s="17" t="str">
        <f t="shared" si="2"/>
        <v/>
      </c>
      <c r="B54" s="18"/>
      <c r="C54" s="18"/>
      <c r="D54" s="18"/>
      <c r="E54" s="19"/>
      <c r="F54" s="18"/>
      <c r="G54" s="18"/>
      <c r="H54" s="20"/>
      <c r="I54" s="21"/>
      <c r="J54" s="22"/>
      <c r="K54" s="21"/>
      <c r="L54" s="23"/>
      <c r="M54" s="19"/>
      <c r="N54" s="18"/>
      <c r="O54" s="24" t="str">
        <f t="shared" si="3"/>
        <v/>
      </c>
      <c r="P54" s="25" t="str">
        <f>IF(COUNTA(B54:N54)=0,"",TRIM(IF(B54="","Falta categoría. ","")&amp;IF(AND(B54&lt;&gt;"",COUNTIF(Catalogos!$B$6:$B$12,B54)=0),"Categoría inválida. ","")&amp;IF(C54="","Falta centro de costo. ","")&amp;IF(D54="","Falta partida. ","")&amp;IF(E54="","Falta fecha. ","")&amp;IF(F54="","Falta concepto. ","")&amp;IF(G54="","Falta proveedor. ","")&amp;IF(I54="","Falta monto. ","")&amp;IF(AND(I54&lt;&gt;"",I54&lt;=0),"Monto inválido. ","")&amp;IF(AND(COUNTA(J54:M54)&gt;0,OR(J54="",K54="",L54="",M54="")),"Completa los 4 campos de moneda extranjera. ","")&amp;IF(AND(J54&lt;&gt;"",COUNTIF(Catalogos!$F$6,J54)=0),"Moneda de factura inválida. ","")&amp;IF(AND(K54&lt;&gt;"",K54&lt;=0),"Monto de factura inválido. ","")&amp;IF(AND(L54&lt;&gt;"",L54&lt;=0),"Tipo de cambio inválido. ","")))</f>
        <v/>
      </c>
    </row>
    <row r="55" ht="22" customHeight="1">
      <c r="A55" s="17" t="str">
        <f t="shared" si="2"/>
        <v/>
      </c>
      <c r="B55" s="18"/>
      <c r="C55" s="18"/>
      <c r="D55" s="18"/>
      <c r="E55" s="19"/>
      <c r="F55" s="18"/>
      <c r="G55" s="18"/>
      <c r="H55" s="20"/>
      <c r="I55" s="21"/>
      <c r="J55" s="22"/>
      <c r="K55" s="21"/>
      <c r="L55" s="23"/>
      <c r="M55" s="19"/>
      <c r="N55" s="18"/>
      <c r="O55" s="24" t="str">
        <f t="shared" si="3"/>
        <v/>
      </c>
      <c r="P55" s="25" t="str">
        <f>IF(COUNTA(B55:N55)=0,"",TRIM(IF(B55="","Falta categoría. ","")&amp;IF(AND(B55&lt;&gt;"",COUNTIF(Catalogos!$B$6:$B$12,B55)=0),"Categoría inválida. ","")&amp;IF(C55="","Falta centro de costo. ","")&amp;IF(D55="","Falta partida. ","")&amp;IF(E55="","Falta fecha. ","")&amp;IF(F55="","Falta concepto. ","")&amp;IF(G55="","Falta proveedor. ","")&amp;IF(I55="","Falta monto. ","")&amp;IF(AND(I55&lt;&gt;"",I55&lt;=0),"Monto inválido. ","")&amp;IF(AND(COUNTA(J55:M55)&gt;0,OR(J55="",K55="",L55="",M55="")),"Completa los 4 campos de moneda extranjera. ","")&amp;IF(AND(J55&lt;&gt;"",COUNTIF(Catalogos!$F$6,J55)=0),"Moneda de factura inválida. ","")&amp;IF(AND(K55&lt;&gt;"",K55&lt;=0),"Monto de factura inválido. ","")&amp;IF(AND(L55&lt;&gt;"",L55&lt;=0),"Tipo de cambio inválido. ","")))</f>
        <v/>
      </c>
    </row>
    <row r="56" ht="22" customHeight="1">
      <c r="A56" s="17" t="str">
        <f t="shared" si="2"/>
        <v/>
      </c>
      <c r="B56" s="18"/>
      <c r="C56" s="18"/>
      <c r="D56" s="18"/>
      <c r="E56" s="19"/>
      <c r="F56" s="18"/>
      <c r="G56" s="18"/>
      <c r="H56" s="20"/>
      <c r="I56" s="21"/>
      <c r="J56" s="22"/>
      <c r="K56" s="21"/>
      <c r="L56" s="23"/>
      <c r="M56" s="19"/>
      <c r="N56" s="18"/>
      <c r="O56" s="24" t="str">
        <f t="shared" si="3"/>
        <v/>
      </c>
      <c r="P56" s="25" t="str">
        <f>IF(COUNTA(B56:N56)=0,"",TRIM(IF(B56="","Falta categoría. ","")&amp;IF(AND(B56&lt;&gt;"",COUNTIF(Catalogos!$B$6:$B$12,B56)=0),"Categoría inválida. ","")&amp;IF(C56="","Falta centro de costo. ","")&amp;IF(D56="","Falta partida. ","")&amp;IF(E56="","Falta fecha. ","")&amp;IF(F56="","Falta concepto. ","")&amp;IF(G56="","Falta proveedor. ","")&amp;IF(I56="","Falta monto. ","")&amp;IF(AND(I56&lt;&gt;"",I56&lt;=0),"Monto inválido. ","")&amp;IF(AND(COUNTA(J56:M56)&gt;0,OR(J56="",K56="",L56="",M56="")),"Completa los 4 campos de moneda extranjera. ","")&amp;IF(AND(J56&lt;&gt;"",COUNTIF(Catalogos!$F$6,J56)=0),"Moneda de factura inválida. ","")&amp;IF(AND(K56&lt;&gt;"",K56&lt;=0),"Monto de factura inválido. ","")&amp;IF(AND(L56&lt;&gt;"",L56&lt;=0),"Tipo de cambio inválido. ","")))</f>
        <v/>
      </c>
    </row>
    <row r="57" ht="22" customHeight="1">
      <c r="A57" s="17" t="str">
        <f t="shared" si="2"/>
        <v/>
      </c>
      <c r="B57" s="18"/>
      <c r="C57" s="18"/>
      <c r="D57" s="18"/>
      <c r="E57" s="19"/>
      <c r="F57" s="18"/>
      <c r="G57" s="18"/>
      <c r="H57" s="20"/>
      <c r="I57" s="21"/>
      <c r="J57" s="22"/>
      <c r="K57" s="21"/>
      <c r="L57" s="23"/>
      <c r="M57" s="19"/>
      <c r="N57" s="18"/>
      <c r="O57" s="24" t="str">
        <f t="shared" si="3"/>
        <v/>
      </c>
      <c r="P57" s="25" t="str">
        <f>IF(COUNTA(B57:N57)=0,"",TRIM(IF(B57="","Falta categoría. ","")&amp;IF(AND(B57&lt;&gt;"",COUNTIF(Catalogos!$B$6:$B$12,B57)=0),"Categoría inválida. ","")&amp;IF(C57="","Falta centro de costo. ","")&amp;IF(D57="","Falta partida. ","")&amp;IF(E57="","Falta fecha. ","")&amp;IF(F57="","Falta concepto. ","")&amp;IF(G57="","Falta proveedor. ","")&amp;IF(I57="","Falta monto. ","")&amp;IF(AND(I57&lt;&gt;"",I57&lt;=0),"Monto inválido. ","")&amp;IF(AND(COUNTA(J57:M57)&gt;0,OR(J57="",K57="",L57="",M57="")),"Completa los 4 campos de moneda extranjera. ","")&amp;IF(AND(J57&lt;&gt;"",COUNTIF(Catalogos!$F$6,J57)=0),"Moneda de factura inválida. ","")&amp;IF(AND(K57&lt;&gt;"",K57&lt;=0),"Monto de factura inválido. ","")&amp;IF(AND(L57&lt;&gt;"",L57&lt;=0),"Tipo de cambio inválido. ","")))</f>
        <v/>
      </c>
    </row>
    <row r="58" ht="22" customHeight="1">
      <c r="A58" s="17" t="str">
        <f t="shared" si="2"/>
        <v/>
      </c>
      <c r="B58" s="18"/>
      <c r="C58" s="18"/>
      <c r="D58" s="18"/>
      <c r="E58" s="19"/>
      <c r="F58" s="18"/>
      <c r="G58" s="18"/>
      <c r="H58" s="20"/>
      <c r="I58" s="21"/>
      <c r="J58" s="22"/>
      <c r="K58" s="21"/>
      <c r="L58" s="23"/>
      <c r="M58" s="19"/>
      <c r="N58" s="18"/>
      <c r="O58" s="24" t="str">
        <f t="shared" si="3"/>
        <v/>
      </c>
      <c r="P58" s="25" t="str">
        <f>IF(COUNTA(B58:N58)=0,"",TRIM(IF(B58="","Falta categoría. ","")&amp;IF(AND(B58&lt;&gt;"",COUNTIF(Catalogos!$B$6:$B$12,B58)=0),"Categoría inválida. ","")&amp;IF(C58="","Falta centro de costo. ","")&amp;IF(D58="","Falta partida. ","")&amp;IF(E58="","Falta fecha. ","")&amp;IF(F58="","Falta concepto. ","")&amp;IF(G58="","Falta proveedor. ","")&amp;IF(I58="","Falta monto. ","")&amp;IF(AND(I58&lt;&gt;"",I58&lt;=0),"Monto inválido. ","")&amp;IF(AND(COUNTA(J58:M58)&gt;0,OR(J58="",K58="",L58="",M58="")),"Completa los 4 campos de moneda extranjera. ","")&amp;IF(AND(J58&lt;&gt;"",COUNTIF(Catalogos!$F$6,J58)=0),"Moneda de factura inválida. ","")&amp;IF(AND(K58&lt;&gt;"",K58&lt;=0),"Monto de factura inválido. ","")&amp;IF(AND(L58&lt;&gt;"",L58&lt;=0),"Tipo de cambio inválido. ","")))</f>
        <v/>
      </c>
    </row>
    <row r="59" ht="22" customHeight="1">
      <c r="A59" s="17" t="str">
        <f t="shared" si="2"/>
        <v/>
      </c>
      <c r="B59" s="18"/>
      <c r="C59" s="18"/>
      <c r="D59" s="18"/>
      <c r="E59" s="19"/>
      <c r="F59" s="18"/>
      <c r="G59" s="18"/>
      <c r="H59" s="20"/>
      <c r="I59" s="21"/>
      <c r="J59" s="22"/>
      <c r="K59" s="21"/>
      <c r="L59" s="23"/>
      <c r="M59" s="19"/>
      <c r="N59" s="18"/>
      <c r="O59" s="24" t="str">
        <f t="shared" si="3"/>
        <v/>
      </c>
      <c r="P59" s="25" t="str">
        <f>IF(COUNTA(B59:N59)=0,"",TRIM(IF(B59="","Falta categoría. ","")&amp;IF(AND(B59&lt;&gt;"",COUNTIF(Catalogos!$B$6:$B$12,B59)=0),"Categoría inválida. ","")&amp;IF(C59="","Falta centro de costo. ","")&amp;IF(D59="","Falta partida. ","")&amp;IF(E59="","Falta fecha. ","")&amp;IF(F59="","Falta concepto. ","")&amp;IF(G59="","Falta proveedor. ","")&amp;IF(I59="","Falta monto. ","")&amp;IF(AND(I59&lt;&gt;"",I59&lt;=0),"Monto inválido. ","")&amp;IF(AND(COUNTA(J59:M59)&gt;0,OR(J59="",K59="",L59="",M59="")),"Completa los 4 campos de moneda extranjera. ","")&amp;IF(AND(J59&lt;&gt;"",COUNTIF(Catalogos!$F$6,J59)=0),"Moneda de factura inválida. ","")&amp;IF(AND(K59&lt;&gt;"",K59&lt;=0),"Monto de factura inválido. ","")&amp;IF(AND(L59&lt;&gt;"",L59&lt;=0),"Tipo de cambio inválido. ","")))</f>
        <v/>
      </c>
    </row>
    <row r="60" ht="22" customHeight="1">
      <c r="A60" s="17" t="str">
        <f t="shared" si="2"/>
        <v/>
      </c>
      <c r="B60" s="18"/>
      <c r="C60" s="18"/>
      <c r="D60" s="18"/>
      <c r="E60" s="19"/>
      <c r="F60" s="18"/>
      <c r="G60" s="18"/>
      <c r="H60" s="20"/>
      <c r="I60" s="21"/>
      <c r="J60" s="22"/>
      <c r="K60" s="21"/>
      <c r="L60" s="23"/>
      <c r="M60" s="19"/>
      <c r="N60" s="18"/>
      <c r="O60" s="24" t="str">
        <f t="shared" si="3"/>
        <v/>
      </c>
      <c r="P60" s="25" t="str">
        <f>IF(COUNTA(B60:N60)=0,"",TRIM(IF(B60="","Falta categoría. ","")&amp;IF(AND(B60&lt;&gt;"",COUNTIF(Catalogos!$B$6:$B$12,B60)=0),"Categoría inválida. ","")&amp;IF(C60="","Falta centro de costo. ","")&amp;IF(D60="","Falta partida. ","")&amp;IF(E60="","Falta fecha. ","")&amp;IF(F60="","Falta concepto. ","")&amp;IF(G60="","Falta proveedor. ","")&amp;IF(I60="","Falta monto. ","")&amp;IF(AND(I60&lt;&gt;"",I60&lt;=0),"Monto inválido. ","")&amp;IF(AND(COUNTA(J60:M60)&gt;0,OR(J60="",K60="",L60="",M60="")),"Completa los 4 campos de moneda extranjera. ","")&amp;IF(AND(J60&lt;&gt;"",COUNTIF(Catalogos!$F$6,J60)=0),"Moneda de factura inválida. ","")&amp;IF(AND(K60&lt;&gt;"",K60&lt;=0),"Monto de factura inválido. ","")&amp;IF(AND(L60&lt;&gt;"",L60&lt;=0),"Tipo de cambio inválido. ","")))</f>
        <v/>
      </c>
    </row>
    <row r="61" ht="22" customHeight="1">
      <c r="A61" s="17" t="str">
        <f t="shared" si="2"/>
        <v/>
      </c>
      <c r="B61" s="18"/>
      <c r="C61" s="18"/>
      <c r="D61" s="18"/>
      <c r="E61" s="19"/>
      <c r="F61" s="18"/>
      <c r="G61" s="18"/>
      <c r="H61" s="20"/>
      <c r="I61" s="21"/>
      <c r="J61" s="22"/>
      <c r="K61" s="21"/>
      <c r="L61" s="23"/>
      <c r="M61" s="19"/>
      <c r="N61" s="18"/>
      <c r="O61" s="24" t="str">
        <f t="shared" si="3"/>
        <v/>
      </c>
      <c r="P61" s="25" t="str">
        <f>IF(COUNTA(B61:N61)=0,"",TRIM(IF(B61="","Falta categoría. ","")&amp;IF(AND(B61&lt;&gt;"",COUNTIF(Catalogos!$B$6:$B$12,B61)=0),"Categoría inválida. ","")&amp;IF(C61="","Falta centro de costo. ","")&amp;IF(D61="","Falta partida. ","")&amp;IF(E61="","Falta fecha. ","")&amp;IF(F61="","Falta concepto. ","")&amp;IF(G61="","Falta proveedor. ","")&amp;IF(I61="","Falta monto. ","")&amp;IF(AND(I61&lt;&gt;"",I61&lt;=0),"Monto inválido. ","")&amp;IF(AND(COUNTA(J61:M61)&gt;0,OR(J61="",K61="",L61="",M61="")),"Completa los 4 campos de moneda extranjera. ","")&amp;IF(AND(J61&lt;&gt;"",COUNTIF(Catalogos!$F$6,J61)=0),"Moneda de factura inválida. ","")&amp;IF(AND(K61&lt;&gt;"",K61&lt;=0),"Monto de factura inválido. ","")&amp;IF(AND(L61&lt;&gt;"",L61&lt;=0),"Tipo de cambio inválido. ","")))</f>
        <v/>
      </c>
    </row>
    <row r="62" ht="22" customHeight="1">
      <c r="A62" s="17" t="str">
        <f t="shared" si="2"/>
        <v/>
      </c>
      <c r="B62" s="18"/>
      <c r="C62" s="18"/>
      <c r="D62" s="18"/>
      <c r="E62" s="19"/>
      <c r="F62" s="18"/>
      <c r="G62" s="18"/>
      <c r="H62" s="20"/>
      <c r="I62" s="21"/>
      <c r="J62" s="22"/>
      <c r="K62" s="21"/>
      <c r="L62" s="23"/>
      <c r="M62" s="19"/>
      <c r="N62" s="18"/>
      <c r="O62" s="24" t="str">
        <f t="shared" si="3"/>
        <v/>
      </c>
      <c r="P62" s="25" t="str">
        <f>IF(COUNTA(B62:N62)=0,"",TRIM(IF(B62="","Falta categoría. ","")&amp;IF(AND(B62&lt;&gt;"",COUNTIF(Catalogos!$B$6:$B$12,B62)=0),"Categoría inválida. ","")&amp;IF(C62="","Falta centro de costo. ","")&amp;IF(D62="","Falta partida. ","")&amp;IF(E62="","Falta fecha. ","")&amp;IF(F62="","Falta concepto. ","")&amp;IF(G62="","Falta proveedor. ","")&amp;IF(I62="","Falta monto. ","")&amp;IF(AND(I62&lt;&gt;"",I62&lt;=0),"Monto inválido. ","")&amp;IF(AND(COUNTA(J62:M62)&gt;0,OR(J62="",K62="",L62="",M62="")),"Completa los 4 campos de moneda extranjera. ","")&amp;IF(AND(J62&lt;&gt;"",COUNTIF(Catalogos!$F$6,J62)=0),"Moneda de factura inválida. ","")&amp;IF(AND(K62&lt;&gt;"",K62&lt;=0),"Monto de factura inválido. ","")&amp;IF(AND(L62&lt;&gt;"",L62&lt;=0),"Tipo de cambio inválido. ","")))</f>
        <v/>
      </c>
    </row>
    <row r="63" ht="22" customHeight="1">
      <c r="A63" s="17" t="str">
        <f t="shared" si="2"/>
        <v/>
      </c>
      <c r="B63" s="18"/>
      <c r="C63" s="18"/>
      <c r="D63" s="18"/>
      <c r="E63" s="19"/>
      <c r="F63" s="18"/>
      <c r="G63" s="18"/>
      <c r="H63" s="20"/>
      <c r="I63" s="21"/>
      <c r="J63" s="22"/>
      <c r="K63" s="21"/>
      <c r="L63" s="23"/>
      <c r="M63" s="19"/>
      <c r="N63" s="18"/>
      <c r="O63" s="24" t="str">
        <f t="shared" si="3"/>
        <v/>
      </c>
      <c r="P63" s="25" t="str">
        <f>IF(COUNTA(B63:N63)=0,"",TRIM(IF(B63="","Falta categoría. ","")&amp;IF(AND(B63&lt;&gt;"",COUNTIF(Catalogos!$B$6:$B$12,B63)=0),"Categoría inválida. ","")&amp;IF(C63="","Falta centro de costo. ","")&amp;IF(D63="","Falta partida. ","")&amp;IF(E63="","Falta fecha. ","")&amp;IF(F63="","Falta concepto. ","")&amp;IF(G63="","Falta proveedor. ","")&amp;IF(I63="","Falta monto. ","")&amp;IF(AND(I63&lt;&gt;"",I63&lt;=0),"Monto inválido. ","")&amp;IF(AND(COUNTA(J63:M63)&gt;0,OR(J63="",K63="",L63="",M63="")),"Completa los 4 campos de moneda extranjera. ","")&amp;IF(AND(J63&lt;&gt;"",COUNTIF(Catalogos!$F$6,J63)=0),"Moneda de factura inválida. ","")&amp;IF(AND(K63&lt;&gt;"",K63&lt;=0),"Monto de factura inválido. ","")&amp;IF(AND(L63&lt;&gt;"",L63&lt;=0),"Tipo de cambio inválido. ","")))</f>
        <v/>
      </c>
    </row>
    <row r="64" ht="22" customHeight="1">
      <c r="A64" s="17" t="str">
        <f t="shared" si="2"/>
        <v/>
      </c>
      <c r="B64" s="18"/>
      <c r="C64" s="18"/>
      <c r="D64" s="18"/>
      <c r="E64" s="19"/>
      <c r="F64" s="18"/>
      <c r="G64" s="18"/>
      <c r="H64" s="20"/>
      <c r="I64" s="21"/>
      <c r="J64" s="22"/>
      <c r="K64" s="21"/>
      <c r="L64" s="23"/>
      <c r="M64" s="19"/>
      <c r="N64" s="18"/>
      <c r="O64" s="24" t="str">
        <f t="shared" si="3"/>
        <v/>
      </c>
      <c r="P64" s="25" t="str">
        <f>IF(COUNTA(B64:N64)=0,"",TRIM(IF(B64="","Falta categoría. ","")&amp;IF(AND(B64&lt;&gt;"",COUNTIF(Catalogos!$B$6:$B$12,B64)=0),"Categoría inválida. ","")&amp;IF(C64="","Falta centro de costo. ","")&amp;IF(D64="","Falta partida. ","")&amp;IF(E64="","Falta fecha. ","")&amp;IF(F64="","Falta concepto. ","")&amp;IF(G64="","Falta proveedor. ","")&amp;IF(I64="","Falta monto. ","")&amp;IF(AND(I64&lt;&gt;"",I64&lt;=0),"Monto inválido. ","")&amp;IF(AND(COUNTA(J64:M64)&gt;0,OR(J64="",K64="",L64="",M64="")),"Completa los 4 campos de moneda extranjera. ","")&amp;IF(AND(J64&lt;&gt;"",COUNTIF(Catalogos!$F$6,J64)=0),"Moneda de factura inválida. ","")&amp;IF(AND(K64&lt;&gt;"",K64&lt;=0),"Monto de factura inválido. ","")&amp;IF(AND(L64&lt;&gt;"",L64&lt;=0),"Tipo de cambio inválido. ","")))</f>
        <v/>
      </c>
    </row>
    <row r="65" ht="22" customHeight="1">
      <c r="A65" s="17" t="str">
        <f t="shared" si="2"/>
        <v/>
      </c>
      <c r="B65" s="18"/>
      <c r="C65" s="18"/>
      <c r="D65" s="18"/>
      <c r="E65" s="19"/>
      <c r="F65" s="18"/>
      <c r="G65" s="18"/>
      <c r="H65" s="20"/>
      <c r="I65" s="21"/>
      <c r="J65" s="22"/>
      <c r="K65" s="21"/>
      <c r="L65" s="23"/>
      <c r="M65" s="19"/>
      <c r="N65" s="18"/>
      <c r="O65" s="24" t="str">
        <f t="shared" si="3"/>
        <v/>
      </c>
      <c r="P65" s="25" t="str">
        <f>IF(COUNTA(B65:N65)=0,"",TRIM(IF(B65="","Falta categoría. ","")&amp;IF(AND(B65&lt;&gt;"",COUNTIF(Catalogos!$B$6:$B$12,B65)=0),"Categoría inválida. ","")&amp;IF(C65="","Falta centro de costo. ","")&amp;IF(D65="","Falta partida. ","")&amp;IF(E65="","Falta fecha. ","")&amp;IF(F65="","Falta concepto. ","")&amp;IF(G65="","Falta proveedor. ","")&amp;IF(I65="","Falta monto. ","")&amp;IF(AND(I65&lt;&gt;"",I65&lt;=0),"Monto inválido. ","")&amp;IF(AND(COUNTA(J65:M65)&gt;0,OR(J65="",K65="",L65="",M65="")),"Completa los 4 campos de moneda extranjera. ","")&amp;IF(AND(J65&lt;&gt;"",COUNTIF(Catalogos!$F$6,J65)=0),"Moneda de factura inválida. ","")&amp;IF(AND(K65&lt;&gt;"",K65&lt;=0),"Monto de factura inválido. ","")&amp;IF(AND(L65&lt;&gt;"",L65&lt;=0),"Tipo de cambio inválido. ","")))</f>
        <v/>
      </c>
    </row>
    <row r="66" ht="22" customHeight="1">
      <c r="A66" s="17" t="str">
        <f t="shared" si="2"/>
        <v/>
      </c>
      <c r="B66" s="18"/>
      <c r="C66" s="18"/>
      <c r="D66" s="18"/>
      <c r="E66" s="19"/>
      <c r="F66" s="18"/>
      <c r="G66" s="18"/>
      <c r="H66" s="20"/>
      <c r="I66" s="21"/>
      <c r="J66" s="22"/>
      <c r="K66" s="21"/>
      <c r="L66" s="23"/>
      <c r="M66" s="19"/>
      <c r="N66" s="18"/>
      <c r="O66" s="24" t="str">
        <f t="shared" si="3"/>
        <v/>
      </c>
      <c r="P66" s="25" t="str">
        <f>IF(COUNTA(B66:N66)=0,"",TRIM(IF(B66="","Falta categoría. ","")&amp;IF(AND(B66&lt;&gt;"",COUNTIF(Catalogos!$B$6:$B$12,B66)=0),"Categoría inválida. ","")&amp;IF(C66="","Falta centro de costo. ","")&amp;IF(D66="","Falta partida. ","")&amp;IF(E66="","Falta fecha. ","")&amp;IF(F66="","Falta concepto. ","")&amp;IF(G66="","Falta proveedor. ","")&amp;IF(I66="","Falta monto. ","")&amp;IF(AND(I66&lt;&gt;"",I66&lt;=0),"Monto inválido. ","")&amp;IF(AND(COUNTA(J66:M66)&gt;0,OR(J66="",K66="",L66="",M66="")),"Completa los 4 campos de moneda extranjera. ","")&amp;IF(AND(J66&lt;&gt;"",COUNTIF(Catalogos!$F$6,J66)=0),"Moneda de factura inválida. ","")&amp;IF(AND(K66&lt;&gt;"",K66&lt;=0),"Monto de factura inválido. ","")&amp;IF(AND(L66&lt;&gt;"",L66&lt;=0),"Tipo de cambio inválido. ","")))</f>
        <v/>
      </c>
    </row>
    <row r="67" ht="22" customHeight="1">
      <c r="A67" s="17" t="str">
        <f t="shared" si="2"/>
        <v/>
      </c>
      <c r="B67" s="18"/>
      <c r="C67" s="18"/>
      <c r="D67" s="18"/>
      <c r="E67" s="19"/>
      <c r="F67" s="18"/>
      <c r="G67" s="18"/>
      <c r="H67" s="20"/>
      <c r="I67" s="21"/>
      <c r="J67" s="22"/>
      <c r="K67" s="21"/>
      <c r="L67" s="23"/>
      <c r="M67" s="19"/>
      <c r="N67" s="18"/>
      <c r="O67" s="24" t="str">
        <f t="shared" si="3"/>
        <v/>
      </c>
      <c r="P67" s="25" t="str">
        <f>IF(COUNTA(B67:N67)=0,"",TRIM(IF(B67="","Falta categoría. ","")&amp;IF(AND(B67&lt;&gt;"",COUNTIF(Catalogos!$B$6:$B$12,B67)=0),"Categoría inválida. ","")&amp;IF(C67="","Falta centro de costo. ","")&amp;IF(D67="","Falta partida. ","")&amp;IF(E67="","Falta fecha. ","")&amp;IF(F67="","Falta concepto. ","")&amp;IF(G67="","Falta proveedor. ","")&amp;IF(I67="","Falta monto. ","")&amp;IF(AND(I67&lt;&gt;"",I67&lt;=0),"Monto inválido. ","")&amp;IF(AND(COUNTA(J67:M67)&gt;0,OR(J67="",K67="",L67="",M67="")),"Completa los 4 campos de moneda extranjera. ","")&amp;IF(AND(J67&lt;&gt;"",COUNTIF(Catalogos!$F$6,J67)=0),"Moneda de factura inválida. ","")&amp;IF(AND(K67&lt;&gt;"",K67&lt;=0),"Monto de factura inválido. ","")&amp;IF(AND(L67&lt;&gt;"",L67&lt;=0),"Tipo de cambio inválido. ","")))</f>
        <v/>
      </c>
    </row>
    <row r="68" ht="22" customHeight="1">
      <c r="A68" s="17" t="str">
        <f t="shared" si="2"/>
        <v/>
      </c>
      <c r="B68" s="18"/>
      <c r="C68" s="18"/>
      <c r="D68" s="18"/>
      <c r="E68" s="19"/>
      <c r="F68" s="18"/>
      <c r="G68" s="18"/>
      <c r="H68" s="20"/>
      <c r="I68" s="21"/>
      <c r="J68" s="22"/>
      <c r="K68" s="21"/>
      <c r="L68" s="23"/>
      <c r="M68" s="19"/>
      <c r="N68" s="18"/>
      <c r="O68" s="24" t="str">
        <f t="shared" si="3"/>
        <v/>
      </c>
      <c r="P68" s="25" t="str">
        <f>IF(COUNTA(B68:N68)=0,"",TRIM(IF(B68="","Falta categoría. ","")&amp;IF(AND(B68&lt;&gt;"",COUNTIF(Catalogos!$B$6:$B$12,B68)=0),"Categoría inválida. ","")&amp;IF(C68="","Falta centro de costo. ","")&amp;IF(D68="","Falta partida. ","")&amp;IF(E68="","Falta fecha. ","")&amp;IF(F68="","Falta concepto. ","")&amp;IF(G68="","Falta proveedor. ","")&amp;IF(I68="","Falta monto. ","")&amp;IF(AND(I68&lt;&gt;"",I68&lt;=0),"Monto inválido. ","")&amp;IF(AND(COUNTA(J68:M68)&gt;0,OR(J68="",K68="",L68="",M68="")),"Completa los 4 campos de moneda extranjera. ","")&amp;IF(AND(J68&lt;&gt;"",COUNTIF(Catalogos!$F$6,J68)=0),"Moneda de factura inválida. ","")&amp;IF(AND(K68&lt;&gt;"",K68&lt;=0),"Monto de factura inválido. ","")&amp;IF(AND(L68&lt;&gt;"",L68&lt;=0),"Tipo de cambio inválido. ","")))</f>
        <v/>
      </c>
    </row>
    <row r="69" ht="22" customHeight="1">
      <c r="A69" s="17" t="str">
        <f t="shared" si="2"/>
        <v/>
      </c>
      <c r="B69" s="18"/>
      <c r="C69" s="18"/>
      <c r="D69" s="18"/>
      <c r="E69" s="19"/>
      <c r="F69" s="18"/>
      <c r="G69" s="18"/>
      <c r="H69" s="20"/>
      <c r="I69" s="21"/>
      <c r="J69" s="22"/>
      <c r="K69" s="21"/>
      <c r="L69" s="23"/>
      <c r="M69" s="19"/>
      <c r="N69" s="18"/>
      <c r="O69" s="24" t="str">
        <f t="shared" si="3"/>
        <v/>
      </c>
      <c r="P69" s="25" t="str">
        <f>IF(COUNTA(B69:N69)=0,"",TRIM(IF(B69="","Falta categoría. ","")&amp;IF(AND(B69&lt;&gt;"",COUNTIF(Catalogos!$B$6:$B$12,B69)=0),"Categoría inválida. ","")&amp;IF(C69="","Falta centro de costo. ","")&amp;IF(D69="","Falta partida. ","")&amp;IF(E69="","Falta fecha. ","")&amp;IF(F69="","Falta concepto. ","")&amp;IF(G69="","Falta proveedor. ","")&amp;IF(I69="","Falta monto. ","")&amp;IF(AND(I69&lt;&gt;"",I69&lt;=0),"Monto inválido. ","")&amp;IF(AND(COUNTA(J69:M69)&gt;0,OR(J69="",K69="",L69="",M69="")),"Completa los 4 campos de moneda extranjera. ","")&amp;IF(AND(J69&lt;&gt;"",COUNTIF(Catalogos!$F$6,J69)=0),"Moneda de factura inválida. ","")&amp;IF(AND(K69&lt;&gt;"",K69&lt;=0),"Monto de factura inválido. ","")&amp;IF(AND(L69&lt;&gt;"",L69&lt;=0),"Tipo de cambio inválido. ","")))</f>
        <v/>
      </c>
    </row>
    <row r="70" ht="22" customHeight="1">
      <c r="A70" s="17" t="str">
        <f t="shared" si="2"/>
        <v/>
      </c>
      <c r="B70" s="18"/>
      <c r="C70" s="18"/>
      <c r="D70" s="18"/>
      <c r="E70" s="19"/>
      <c r="F70" s="18"/>
      <c r="G70" s="18"/>
      <c r="H70" s="20"/>
      <c r="I70" s="21"/>
      <c r="J70" s="22"/>
      <c r="K70" s="21"/>
      <c r="L70" s="23"/>
      <c r="M70" s="19"/>
      <c r="N70" s="18"/>
      <c r="O70" s="24" t="str">
        <f t="shared" si="3"/>
        <v/>
      </c>
      <c r="P70" s="25" t="str">
        <f>IF(COUNTA(B70:N70)=0,"",TRIM(IF(B70="","Falta categoría. ","")&amp;IF(AND(B70&lt;&gt;"",COUNTIF(Catalogos!$B$6:$B$12,B70)=0),"Categoría inválida. ","")&amp;IF(C70="","Falta centro de costo. ","")&amp;IF(D70="","Falta partida. ","")&amp;IF(E70="","Falta fecha. ","")&amp;IF(F70="","Falta concepto. ","")&amp;IF(G70="","Falta proveedor. ","")&amp;IF(I70="","Falta monto. ","")&amp;IF(AND(I70&lt;&gt;"",I70&lt;=0),"Monto inválido. ","")&amp;IF(AND(COUNTA(J70:M70)&gt;0,OR(J70="",K70="",L70="",M70="")),"Completa los 4 campos de moneda extranjera. ","")&amp;IF(AND(J70&lt;&gt;"",COUNTIF(Catalogos!$F$6,J70)=0),"Moneda de factura inválida. ","")&amp;IF(AND(K70&lt;&gt;"",K70&lt;=0),"Monto de factura inválido. ","")&amp;IF(AND(L70&lt;&gt;"",L70&lt;=0),"Tipo de cambio inválido. ","")))</f>
        <v/>
      </c>
    </row>
    <row r="71" ht="22" customHeight="1">
      <c r="A71" s="17" t="str">
        <f t="shared" si="2"/>
        <v/>
      </c>
      <c r="B71" s="18"/>
      <c r="C71" s="18"/>
      <c r="D71" s="18"/>
      <c r="E71" s="19"/>
      <c r="F71" s="18"/>
      <c r="G71" s="18"/>
      <c r="H71" s="20"/>
      <c r="I71" s="21"/>
      <c r="J71" s="22"/>
      <c r="K71" s="21"/>
      <c r="L71" s="23"/>
      <c r="M71" s="19"/>
      <c r="N71" s="18"/>
      <c r="O71" s="24" t="str">
        <f t="shared" si="3"/>
        <v/>
      </c>
      <c r="P71" s="25" t="str">
        <f>IF(COUNTA(B71:N71)=0,"",TRIM(IF(B71="","Falta categoría. ","")&amp;IF(AND(B71&lt;&gt;"",COUNTIF(Catalogos!$B$6:$B$12,B71)=0),"Categoría inválida. ","")&amp;IF(C71="","Falta centro de costo. ","")&amp;IF(D71="","Falta partida. ","")&amp;IF(E71="","Falta fecha. ","")&amp;IF(F71="","Falta concepto. ","")&amp;IF(G71="","Falta proveedor. ","")&amp;IF(I71="","Falta monto. ","")&amp;IF(AND(I71&lt;&gt;"",I71&lt;=0),"Monto inválido. ","")&amp;IF(AND(COUNTA(J71:M71)&gt;0,OR(J71="",K71="",L71="",M71="")),"Completa los 4 campos de moneda extranjera. ","")&amp;IF(AND(J71&lt;&gt;"",COUNTIF(Catalogos!$F$6,J71)=0),"Moneda de factura inválida. ","")&amp;IF(AND(K71&lt;&gt;"",K71&lt;=0),"Monto de factura inválido. ","")&amp;IF(AND(L71&lt;&gt;"",L71&lt;=0),"Tipo de cambio inválido. ","")))</f>
        <v/>
      </c>
    </row>
    <row r="72" ht="22" customHeight="1">
      <c r="A72" s="17" t="str">
        <f t="shared" si="2"/>
        <v/>
      </c>
      <c r="B72" s="18"/>
      <c r="C72" s="18"/>
      <c r="D72" s="18"/>
      <c r="E72" s="19"/>
      <c r="F72" s="18"/>
      <c r="G72" s="18"/>
      <c r="H72" s="20"/>
      <c r="I72" s="21"/>
      <c r="J72" s="22"/>
      <c r="K72" s="21"/>
      <c r="L72" s="23"/>
      <c r="M72" s="19"/>
      <c r="N72" s="18"/>
      <c r="O72" s="24" t="str">
        <f t="shared" si="3"/>
        <v/>
      </c>
      <c r="P72" s="25" t="str">
        <f>IF(COUNTA(B72:N72)=0,"",TRIM(IF(B72="","Falta categoría. ","")&amp;IF(AND(B72&lt;&gt;"",COUNTIF(Catalogos!$B$6:$B$12,B72)=0),"Categoría inválida. ","")&amp;IF(C72="","Falta centro de costo. ","")&amp;IF(D72="","Falta partida. ","")&amp;IF(E72="","Falta fecha. ","")&amp;IF(F72="","Falta concepto. ","")&amp;IF(G72="","Falta proveedor. ","")&amp;IF(I72="","Falta monto. ","")&amp;IF(AND(I72&lt;&gt;"",I72&lt;=0),"Monto inválido. ","")&amp;IF(AND(COUNTA(J72:M72)&gt;0,OR(J72="",K72="",L72="",M72="")),"Completa los 4 campos de moneda extranjera. ","")&amp;IF(AND(J72&lt;&gt;"",COUNTIF(Catalogos!$F$6,J72)=0),"Moneda de factura inválida. ","")&amp;IF(AND(K72&lt;&gt;"",K72&lt;=0),"Monto de factura inválido. ","")&amp;IF(AND(L72&lt;&gt;"",L72&lt;=0),"Tipo de cambio inválido. ","")))</f>
        <v/>
      </c>
    </row>
    <row r="73" ht="22" customHeight="1">
      <c r="A73" s="17" t="str">
        <f t="shared" si="2"/>
        <v/>
      </c>
      <c r="B73" s="18"/>
      <c r="C73" s="18"/>
      <c r="D73" s="18"/>
      <c r="E73" s="19"/>
      <c r="F73" s="18"/>
      <c r="G73" s="18"/>
      <c r="H73" s="20"/>
      <c r="I73" s="21"/>
      <c r="J73" s="22"/>
      <c r="K73" s="21"/>
      <c r="L73" s="23"/>
      <c r="M73" s="19"/>
      <c r="N73" s="18"/>
      <c r="O73" s="24" t="str">
        <f t="shared" si="3"/>
        <v/>
      </c>
      <c r="P73" s="25" t="str">
        <f>IF(COUNTA(B73:N73)=0,"",TRIM(IF(B73="","Falta categoría. ","")&amp;IF(AND(B73&lt;&gt;"",COUNTIF(Catalogos!$B$6:$B$12,B73)=0),"Categoría inválida. ","")&amp;IF(C73="","Falta centro de costo. ","")&amp;IF(D73="","Falta partida. ","")&amp;IF(E73="","Falta fecha. ","")&amp;IF(F73="","Falta concepto. ","")&amp;IF(G73="","Falta proveedor. ","")&amp;IF(I73="","Falta monto. ","")&amp;IF(AND(I73&lt;&gt;"",I73&lt;=0),"Monto inválido. ","")&amp;IF(AND(COUNTA(J73:M73)&gt;0,OR(J73="",K73="",L73="",M73="")),"Completa los 4 campos de moneda extranjera. ","")&amp;IF(AND(J73&lt;&gt;"",COUNTIF(Catalogos!$F$6,J73)=0),"Moneda de factura inválida. ","")&amp;IF(AND(K73&lt;&gt;"",K73&lt;=0),"Monto de factura inválido. ","")&amp;IF(AND(L73&lt;&gt;"",L73&lt;=0),"Tipo de cambio inválido. ","")))</f>
        <v/>
      </c>
    </row>
    <row r="74" ht="22" customHeight="1">
      <c r="A74" s="17" t="str">
        <f t="shared" ref="A74:A99" si="4">IF(COUNTA(B74:N74)=0,"",ROW()-5)</f>
        <v/>
      </c>
      <c r="B74" s="18"/>
      <c r="C74" s="18"/>
      <c r="D74" s="18"/>
      <c r="E74" s="19"/>
      <c r="F74" s="18"/>
      <c r="G74" s="18"/>
      <c r="H74" s="20"/>
      <c r="I74" s="21"/>
      <c r="J74" s="22"/>
      <c r="K74" s="21"/>
      <c r="L74" s="23"/>
      <c r="M74" s="19"/>
      <c r="N74" s="18"/>
      <c r="O74" s="24" t="str">
        <f t="shared" ref="O74:O99" si="5">IF(COUNTA(B74:N74)=0,"",IF(P74="","LISTO","REVISAR"))</f>
        <v/>
      </c>
      <c r="P74" s="25" t="str">
        <f>IF(COUNTA(B74:N74)=0,"",TRIM(IF(B74="","Falta categoría. ","")&amp;IF(AND(B74&lt;&gt;"",COUNTIF(Catalogos!$B$6:$B$12,B74)=0),"Categoría inválida. ","")&amp;IF(C74="","Falta centro de costo. ","")&amp;IF(D74="","Falta partida. ","")&amp;IF(E74="","Falta fecha. ","")&amp;IF(F74="","Falta concepto. ","")&amp;IF(G74="","Falta proveedor. ","")&amp;IF(I74="","Falta monto. ","")&amp;IF(AND(I74&lt;&gt;"",I74&lt;=0),"Monto inválido. ","")&amp;IF(AND(COUNTA(J74:M74)&gt;0,OR(J74="",K74="",L74="",M74="")),"Completa los 4 campos de moneda extranjera. ","")&amp;IF(AND(J74&lt;&gt;"",COUNTIF(Catalogos!$F$6,J74)=0),"Moneda de factura inválida. ","")&amp;IF(AND(K74&lt;&gt;"",K74&lt;=0),"Monto de factura inválido. ","")&amp;IF(AND(L74&lt;&gt;"",L74&lt;=0),"Tipo de cambio inválido. ","")))</f>
        <v/>
      </c>
    </row>
    <row r="75" ht="22" customHeight="1">
      <c r="A75" s="17" t="str">
        <f t="shared" si="4"/>
        <v/>
      </c>
      <c r="B75" s="18"/>
      <c r="C75" s="18"/>
      <c r="D75" s="18"/>
      <c r="E75" s="19"/>
      <c r="F75" s="18"/>
      <c r="G75" s="18"/>
      <c r="H75" s="20"/>
      <c r="I75" s="21"/>
      <c r="J75" s="22"/>
      <c r="K75" s="21"/>
      <c r="L75" s="23"/>
      <c r="M75" s="19"/>
      <c r="N75" s="18"/>
      <c r="O75" s="24" t="str">
        <f t="shared" si="5"/>
        <v/>
      </c>
      <c r="P75" s="25" t="str">
        <f>IF(COUNTA(B75:N75)=0,"",TRIM(IF(B75="","Falta categoría. ","")&amp;IF(AND(B75&lt;&gt;"",COUNTIF(Catalogos!$B$6:$B$12,B75)=0),"Categoría inválida. ","")&amp;IF(C75="","Falta centro de costo. ","")&amp;IF(D75="","Falta partida. ","")&amp;IF(E75="","Falta fecha. ","")&amp;IF(F75="","Falta concepto. ","")&amp;IF(G75="","Falta proveedor. ","")&amp;IF(I75="","Falta monto. ","")&amp;IF(AND(I75&lt;&gt;"",I75&lt;=0),"Monto inválido. ","")&amp;IF(AND(COUNTA(J75:M75)&gt;0,OR(J75="",K75="",L75="",M75="")),"Completa los 4 campos de moneda extranjera. ","")&amp;IF(AND(J75&lt;&gt;"",COUNTIF(Catalogos!$F$6,J75)=0),"Moneda de factura inválida. ","")&amp;IF(AND(K75&lt;&gt;"",K75&lt;=0),"Monto de factura inválido. ","")&amp;IF(AND(L75&lt;&gt;"",L75&lt;=0),"Tipo de cambio inválido. ","")))</f>
        <v/>
      </c>
    </row>
    <row r="76" ht="22" customHeight="1">
      <c r="A76" s="17" t="str">
        <f t="shared" si="4"/>
        <v/>
      </c>
      <c r="B76" s="18"/>
      <c r="C76" s="18"/>
      <c r="D76" s="18"/>
      <c r="E76" s="19"/>
      <c r="F76" s="18"/>
      <c r="G76" s="18"/>
      <c r="H76" s="20"/>
      <c r="I76" s="21"/>
      <c r="J76" s="22"/>
      <c r="K76" s="21"/>
      <c r="L76" s="23"/>
      <c r="M76" s="19"/>
      <c r="N76" s="18"/>
      <c r="O76" s="24" t="str">
        <f t="shared" si="5"/>
        <v/>
      </c>
      <c r="P76" s="25" t="str">
        <f>IF(COUNTA(B76:N76)=0,"",TRIM(IF(B76="","Falta categoría. ","")&amp;IF(AND(B76&lt;&gt;"",COUNTIF(Catalogos!$B$6:$B$12,B76)=0),"Categoría inválida. ","")&amp;IF(C76="","Falta centro de costo. ","")&amp;IF(D76="","Falta partida. ","")&amp;IF(E76="","Falta fecha. ","")&amp;IF(F76="","Falta concepto. ","")&amp;IF(G76="","Falta proveedor. ","")&amp;IF(I76="","Falta monto. ","")&amp;IF(AND(I76&lt;&gt;"",I76&lt;=0),"Monto inválido. ","")&amp;IF(AND(COUNTA(J76:M76)&gt;0,OR(J76="",K76="",L76="",M76="")),"Completa los 4 campos de moneda extranjera. ","")&amp;IF(AND(J76&lt;&gt;"",COUNTIF(Catalogos!$F$6,J76)=0),"Moneda de factura inválida. ","")&amp;IF(AND(K76&lt;&gt;"",K76&lt;=0),"Monto de factura inválido. ","")&amp;IF(AND(L76&lt;&gt;"",L76&lt;=0),"Tipo de cambio inválido. ","")))</f>
        <v/>
      </c>
    </row>
    <row r="77" ht="22" customHeight="1">
      <c r="A77" s="17" t="str">
        <f t="shared" si="4"/>
        <v/>
      </c>
      <c r="B77" s="18"/>
      <c r="C77" s="18"/>
      <c r="D77" s="18"/>
      <c r="E77" s="19"/>
      <c r="F77" s="18"/>
      <c r="G77" s="18"/>
      <c r="H77" s="20"/>
      <c r="I77" s="21"/>
      <c r="J77" s="22"/>
      <c r="K77" s="21"/>
      <c r="L77" s="23"/>
      <c r="M77" s="19"/>
      <c r="N77" s="18"/>
      <c r="O77" s="24" t="str">
        <f t="shared" si="5"/>
        <v/>
      </c>
      <c r="P77" s="25" t="str">
        <f>IF(COUNTA(B77:N77)=0,"",TRIM(IF(B77="","Falta categoría. ","")&amp;IF(AND(B77&lt;&gt;"",COUNTIF(Catalogos!$B$6:$B$12,B77)=0),"Categoría inválida. ","")&amp;IF(C77="","Falta centro de costo. ","")&amp;IF(D77="","Falta partida. ","")&amp;IF(E77="","Falta fecha. ","")&amp;IF(F77="","Falta concepto. ","")&amp;IF(G77="","Falta proveedor. ","")&amp;IF(I77="","Falta monto. ","")&amp;IF(AND(I77&lt;&gt;"",I77&lt;=0),"Monto inválido. ","")&amp;IF(AND(COUNTA(J77:M77)&gt;0,OR(J77="",K77="",L77="",M77="")),"Completa los 4 campos de moneda extranjera. ","")&amp;IF(AND(J77&lt;&gt;"",COUNTIF(Catalogos!$F$6,J77)=0),"Moneda de factura inválida. ","")&amp;IF(AND(K77&lt;&gt;"",K77&lt;=0),"Monto de factura inválido. ","")&amp;IF(AND(L77&lt;&gt;"",L77&lt;=0),"Tipo de cambio inválido. ","")))</f>
        <v/>
      </c>
    </row>
    <row r="78" ht="22" customHeight="1">
      <c r="A78" s="17" t="str">
        <f t="shared" si="4"/>
        <v/>
      </c>
      <c r="B78" s="18"/>
      <c r="C78" s="18"/>
      <c r="D78" s="18"/>
      <c r="E78" s="19"/>
      <c r="F78" s="18"/>
      <c r="G78" s="18"/>
      <c r="H78" s="20"/>
      <c r="I78" s="21"/>
      <c r="J78" s="22"/>
      <c r="K78" s="21"/>
      <c r="L78" s="23"/>
      <c r="M78" s="19"/>
      <c r="N78" s="18"/>
      <c r="O78" s="24" t="str">
        <f t="shared" si="5"/>
        <v/>
      </c>
      <c r="P78" s="25" t="str">
        <f>IF(COUNTA(B78:N78)=0,"",TRIM(IF(B78="","Falta categoría. ","")&amp;IF(AND(B78&lt;&gt;"",COUNTIF(Catalogos!$B$6:$B$12,B78)=0),"Categoría inválida. ","")&amp;IF(C78="","Falta centro de costo. ","")&amp;IF(D78="","Falta partida. ","")&amp;IF(E78="","Falta fecha. ","")&amp;IF(F78="","Falta concepto. ","")&amp;IF(G78="","Falta proveedor. ","")&amp;IF(I78="","Falta monto. ","")&amp;IF(AND(I78&lt;&gt;"",I78&lt;=0),"Monto inválido. ","")&amp;IF(AND(COUNTA(J78:M78)&gt;0,OR(J78="",K78="",L78="",M78="")),"Completa los 4 campos de moneda extranjera. ","")&amp;IF(AND(J78&lt;&gt;"",COUNTIF(Catalogos!$F$6,J78)=0),"Moneda de factura inválida. ","")&amp;IF(AND(K78&lt;&gt;"",K78&lt;=0),"Monto de factura inválido. ","")&amp;IF(AND(L78&lt;&gt;"",L78&lt;=0),"Tipo de cambio inválido. ","")))</f>
        <v/>
      </c>
    </row>
    <row r="79" ht="22" customHeight="1">
      <c r="A79" s="17" t="str">
        <f t="shared" si="4"/>
        <v/>
      </c>
      <c r="B79" s="18"/>
      <c r="C79" s="18"/>
      <c r="D79" s="18"/>
      <c r="E79" s="19"/>
      <c r="F79" s="18"/>
      <c r="G79" s="18"/>
      <c r="H79" s="20"/>
      <c r="I79" s="21"/>
      <c r="J79" s="22"/>
      <c r="K79" s="21"/>
      <c r="L79" s="23"/>
      <c r="M79" s="19"/>
      <c r="N79" s="18"/>
      <c r="O79" s="24" t="str">
        <f t="shared" si="5"/>
        <v/>
      </c>
      <c r="P79" s="25" t="str">
        <f>IF(COUNTA(B79:N79)=0,"",TRIM(IF(B79="","Falta categoría. ","")&amp;IF(AND(B79&lt;&gt;"",COUNTIF(Catalogos!$B$6:$B$12,B79)=0),"Categoría inválida. ","")&amp;IF(C79="","Falta centro de costo. ","")&amp;IF(D79="","Falta partida. ","")&amp;IF(E79="","Falta fecha. ","")&amp;IF(F79="","Falta concepto. ","")&amp;IF(G79="","Falta proveedor. ","")&amp;IF(I79="","Falta monto. ","")&amp;IF(AND(I79&lt;&gt;"",I79&lt;=0),"Monto inválido. ","")&amp;IF(AND(COUNTA(J79:M79)&gt;0,OR(J79="",K79="",L79="",M79="")),"Completa los 4 campos de moneda extranjera. ","")&amp;IF(AND(J79&lt;&gt;"",COUNTIF(Catalogos!$F$6,J79)=0),"Moneda de factura inválida. ","")&amp;IF(AND(K79&lt;&gt;"",K79&lt;=0),"Monto de factura inválido. ","")&amp;IF(AND(L79&lt;&gt;"",L79&lt;=0),"Tipo de cambio inválido. ","")))</f>
        <v/>
      </c>
    </row>
    <row r="80" ht="22" customHeight="1">
      <c r="A80" s="17" t="str">
        <f t="shared" si="4"/>
        <v/>
      </c>
      <c r="B80" s="18"/>
      <c r="C80" s="18"/>
      <c r="D80" s="18"/>
      <c r="E80" s="19"/>
      <c r="F80" s="18"/>
      <c r="G80" s="18"/>
      <c r="H80" s="20"/>
      <c r="I80" s="21"/>
      <c r="J80" s="22"/>
      <c r="K80" s="21"/>
      <c r="L80" s="23"/>
      <c r="M80" s="19"/>
      <c r="N80" s="18"/>
      <c r="O80" s="24" t="str">
        <f t="shared" si="5"/>
        <v/>
      </c>
      <c r="P80" s="25" t="str">
        <f>IF(COUNTA(B80:N80)=0,"",TRIM(IF(B80="","Falta categoría. ","")&amp;IF(AND(B80&lt;&gt;"",COUNTIF(Catalogos!$B$6:$B$12,B80)=0),"Categoría inválida. ","")&amp;IF(C80="","Falta centro de costo. ","")&amp;IF(D80="","Falta partida. ","")&amp;IF(E80="","Falta fecha. ","")&amp;IF(F80="","Falta concepto. ","")&amp;IF(G80="","Falta proveedor. ","")&amp;IF(I80="","Falta monto. ","")&amp;IF(AND(I80&lt;&gt;"",I80&lt;=0),"Monto inválido. ","")&amp;IF(AND(COUNTA(J80:M80)&gt;0,OR(J80="",K80="",L80="",M80="")),"Completa los 4 campos de moneda extranjera. ","")&amp;IF(AND(J80&lt;&gt;"",COUNTIF(Catalogos!$F$6,J80)=0),"Moneda de factura inválida. ","")&amp;IF(AND(K80&lt;&gt;"",K80&lt;=0),"Monto de factura inválido. ","")&amp;IF(AND(L80&lt;&gt;"",L80&lt;=0),"Tipo de cambio inválido. ","")))</f>
        <v/>
      </c>
    </row>
    <row r="81" ht="22" customHeight="1">
      <c r="A81" s="17" t="str">
        <f t="shared" si="4"/>
        <v/>
      </c>
      <c r="B81" s="18"/>
      <c r="C81" s="18"/>
      <c r="D81" s="18"/>
      <c r="E81" s="19"/>
      <c r="F81" s="18"/>
      <c r="G81" s="18"/>
      <c r="H81" s="20"/>
      <c r="I81" s="21"/>
      <c r="J81" s="22"/>
      <c r="K81" s="21"/>
      <c r="L81" s="23"/>
      <c r="M81" s="19"/>
      <c r="N81" s="18"/>
      <c r="O81" s="24" t="str">
        <f t="shared" si="5"/>
        <v/>
      </c>
      <c r="P81" s="25" t="str">
        <f>IF(COUNTA(B81:N81)=0,"",TRIM(IF(B81="","Falta categoría. ","")&amp;IF(AND(B81&lt;&gt;"",COUNTIF(Catalogos!$B$6:$B$12,B81)=0),"Categoría inválida. ","")&amp;IF(C81="","Falta centro de costo. ","")&amp;IF(D81="","Falta partida. ","")&amp;IF(E81="","Falta fecha. ","")&amp;IF(F81="","Falta concepto. ","")&amp;IF(G81="","Falta proveedor. ","")&amp;IF(I81="","Falta monto. ","")&amp;IF(AND(I81&lt;&gt;"",I81&lt;=0),"Monto inválido. ","")&amp;IF(AND(COUNTA(J81:M81)&gt;0,OR(J81="",K81="",L81="",M81="")),"Completa los 4 campos de moneda extranjera. ","")&amp;IF(AND(J81&lt;&gt;"",COUNTIF(Catalogos!$F$6,J81)=0),"Moneda de factura inválida. ","")&amp;IF(AND(K81&lt;&gt;"",K81&lt;=0),"Monto de factura inválido. ","")&amp;IF(AND(L81&lt;&gt;"",L81&lt;=0),"Tipo de cambio inválido. ","")))</f>
        <v/>
      </c>
    </row>
    <row r="82" ht="22" customHeight="1">
      <c r="A82" s="17" t="str">
        <f t="shared" si="4"/>
        <v/>
      </c>
      <c r="B82" s="18"/>
      <c r="C82" s="18"/>
      <c r="D82" s="18"/>
      <c r="E82" s="19"/>
      <c r="F82" s="18"/>
      <c r="G82" s="18"/>
      <c r="H82" s="20"/>
      <c r="I82" s="21"/>
      <c r="J82" s="22"/>
      <c r="K82" s="21"/>
      <c r="L82" s="23"/>
      <c r="M82" s="19"/>
      <c r="N82" s="18"/>
      <c r="O82" s="24" t="str">
        <f t="shared" si="5"/>
        <v/>
      </c>
      <c r="P82" s="25" t="str">
        <f>IF(COUNTA(B82:N82)=0,"",TRIM(IF(B82="","Falta categoría. ","")&amp;IF(AND(B82&lt;&gt;"",COUNTIF(Catalogos!$B$6:$B$12,B82)=0),"Categoría inválida. ","")&amp;IF(C82="","Falta centro de costo. ","")&amp;IF(D82="","Falta partida. ","")&amp;IF(E82="","Falta fecha. ","")&amp;IF(F82="","Falta concepto. ","")&amp;IF(G82="","Falta proveedor. ","")&amp;IF(I82="","Falta monto. ","")&amp;IF(AND(I82&lt;&gt;"",I82&lt;=0),"Monto inválido. ","")&amp;IF(AND(COUNTA(J82:M82)&gt;0,OR(J82="",K82="",L82="",M82="")),"Completa los 4 campos de moneda extranjera. ","")&amp;IF(AND(J82&lt;&gt;"",COUNTIF(Catalogos!$F$6,J82)=0),"Moneda de factura inválida. ","")&amp;IF(AND(K82&lt;&gt;"",K82&lt;=0),"Monto de factura inválido. ","")&amp;IF(AND(L82&lt;&gt;"",L82&lt;=0),"Tipo de cambio inválido. ","")))</f>
        <v/>
      </c>
    </row>
    <row r="83" ht="22" customHeight="1">
      <c r="A83" s="17" t="str">
        <f t="shared" si="4"/>
        <v/>
      </c>
      <c r="B83" s="18"/>
      <c r="C83" s="18"/>
      <c r="D83" s="18"/>
      <c r="E83" s="19"/>
      <c r="F83" s="18"/>
      <c r="G83" s="18"/>
      <c r="H83" s="20"/>
      <c r="I83" s="21"/>
      <c r="J83" s="22"/>
      <c r="K83" s="21"/>
      <c r="L83" s="23"/>
      <c r="M83" s="19"/>
      <c r="N83" s="18"/>
      <c r="O83" s="24" t="str">
        <f t="shared" si="5"/>
        <v/>
      </c>
      <c r="P83" s="25" t="str">
        <f>IF(COUNTA(B83:N83)=0,"",TRIM(IF(B83="","Falta categoría. ","")&amp;IF(AND(B83&lt;&gt;"",COUNTIF(Catalogos!$B$6:$B$12,B83)=0),"Categoría inválida. ","")&amp;IF(C83="","Falta centro de costo. ","")&amp;IF(D83="","Falta partida. ","")&amp;IF(E83="","Falta fecha. ","")&amp;IF(F83="","Falta concepto. ","")&amp;IF(G83="","Falta proveedor. ","")&amp;IF(I83="","Falta monto. ","")&amp;IF(AND(I83&lt;&gt;"",I83&lt;=0),"Monto inválido. ","")&amp;IF(AND(COUNTA(J83:M83)&gt;0,OR(J83="",K83="",L83="",M83="")),"Completa los 4 campos de moneda extranjera. ","")&amp;IF(AND(J83&lt;&gt;"",COUNTIF(Catalogos!$F$6,J83)=0),"Moneda de factura inválida. ","")&amp;IF(AND(K83&lt;&gt;"",K83&lt;=0),"Monto de factura inválido. ","")&amp;IF(AND(L83&lt;&gt;"",L83&lt;=0),"Tipo de cambio inválido. ","")))</f>
        <v/>
      </c>
    </row>
    <row r="84" ht="22" customHeight="1">
      <c r="A84" s="17" t="str">
        <f t="shared" si="4"/>
        <v/>
      </c>
      <c r="B84" s="18"/>
      <c r="C84" s="18"/>
      <c r="D84" s="18"/>
      <c r="E84" s="19"/>
      <c r="F84" s="18"/>
      <c r="G84" s="18"/>
      <c r="H84" s="20"/>
      <c r="I84" s="21"/>
      <c r="J84" s="22"/>
      <c r="K84" s="21"/>
      <c r="L84" s="23"/>
      <c r="M84" s="19"/>
      <c r="N84" s="18"/>
      <c r="O84" s="24" t="str">
        <f t="shared" si="5"/>
        <v/>
      </c>
      <c r="P84" s="25" t="str">
        <f>IF(COUNTA(B84:N84)=0,"",TRIM(IF(B84="","Falta categoría. ","")&amp;IF(AND(B84&lt;&gt;"",COUNTIF(Catalogos!$B$6:$B$12,B84)=0),"Categoría inválida. ","")&amp;IF(C84="","Falta centro de costo. ","")&amp;IF(D84="","Falta partida. ","")&amp;IF(E84="","Falta fecha. ","")&amp;IF(F84="","Falta concepto. ","")&amp;IF(G84="","Falta proveedor. ","")&amp;IF(I84="","Falta monto. ","")&amp;IF(AND(I84&lt;&gt;"",I84&lt;=0),"Monto inválido. ","")&amp;IF(AND(COUNTA(J84:M84)&gt;0,OR(J84="",K84="",L84="",M84="")),"Completa los 4 campos de moneda extranjera. ","")&amp;IF(AND(J84&lt;&gt;"",COUNTIF(Catalogos!$F$6,J84)=0),"Moneda de factura inválida. ","")&amp;IF(AND(K84&lt;&gt;"",K84&lt;=0),"Monto de factura inválido. ","")&amp;IF(AND(L84&lt;&gt;"",L84&lt;=0),"Tipo de cambio inválido. ","")))</f>
        <v/>
      </c>
    </row>
    <row r="85" ht="22" customHeight="1">
      <c r="A85" s="17" t="str">
        <f t="shared" si="4"/>
        <v/>
      </c>
      <c r="B85" s="18"/>
      <c r="C85" s="18"/>
      <c r="D85" s="18"/>
      <c r="E85" s="19"/>
      <c r="F85" s="18"/>
      <c r="G85" s="18"/>
      <c r="H85" s="20"/>
      <c r="I85" s="21"/>
      <c r="J85" s="22"/>
      <c r="K85" s="21"/>
      <c r="L85" s="23"/>
      <c r="M85" s="19"/>
      <c r="N85" s="18"/>
      <c r="O85" s="24" t="str">
        <f t="shared" si="5"/>
        <v/>
      </c>
      <c r="P85" s="25" t="str">
        <f>IF(COUNTA(B85:N85)=0,"",TRIM(IF(B85="","Falta categoría. ","")&amp;IF(AND(B85&lt;&gt;"",COUNTIF(Catalogos!$B$6:$B$12,B85)=0),"Categoría inválida. ","")&amp;IF(C85="","Falta centro de costo. ","")&amp;IF(D85="","Falta partida. ","")&amp;IF(E85="","Falta fecha. ","")&amp;IF(F85="","Falta concepto. ","")&amp;IF(G85="","Falta proveedor. ","")&amp;IF(I85="","Falta monto. ","")&amp;IF(AND(I85&lt;&gt;"",I85&lt;=0),"Monto inválido. ","")&amp;IF(AND(COUNTA(J85:M85)&gt;0,OR(J85="",K85="",L85="",M85="")),"Completa los 4 campos de moneda extranjera. ","")&amp;IF(AND(J85&lt;&gt;"",COUNTIF(Catalogos!$F$6,J85)=0),"Moneda de factura inválida. ","")&amp;IF(AND(K85&lt;&gt;"",K85&lt;=0),"Monto de factura inválido. ","")&amp;IF(AND(L85&lt;&gt;"",L85&lt;=0),"Tipo de cambio inválido. ","")))</f>
        <v/>
      </c>
    </row>
    <row r="86" ht="22" customHeight="1">
      <c r="A86" s="17" t="str">
        <f t="shared" si="4"/>
        <v/>
      </c>
      <c r="B86" s="18"/>
      <c r="C86" s="18"/>
      <c r="D86" s="18"/>
      <c r="E86" s="19"/>
      <c r="F86" s="18"/>
      <c r="G86" s="18"/>
      <c r="H86" s="20"/>
      <c r="I86" s="21"/>
      <c r="J86" s="22"/>
      <c r="K86" s="21"/>
      <c r="L86" s="23"/>
      <c r="M86" s="19"/>
      <c r="N86" s="18"/>
      <c r="O86" s="24" t="str">
        <f t="shared" si="5"/>
        <v/>
      </c>
      <c r="P86" s="25" t="str">
        <f>IF(COUNTA(B86:N86)=0,"",TRIM(IF(B86="","Falta categoría. ","")&amp;IF(AND(B86&lt;&gt;"",COUNTIF(Catalogos!$B$6:$B$12,B86)=0),"Categoría inválida. ","")&amp;IF(C86="","Falta centro de costo. ","")&amp;IF(D86="","Falta partida. ","")&amp;IF(E86="","Falta fecha. ","")&amp;IF(F86="","Falta concepto. ","")&amp;IF(G86="","Falta proveedor. ","")&amp;IF(I86="","Falta monto. ","")&amp;IF(AND(I86&lt;&gt;"",I86&lt;=0),"Monto inválido. ","")&amp;IF(AND(COUNTA(J86:M86)&gt;0,OR(J86="",K86="",L86="",M86="")),"Completa los 4 campos de moneda extranjera. ","")&amp;IF(AND(J86&lt;&gt;"",COUNTIF(Catalogos!$F$6,J86)=0),"Moneda de factura inválida. ","")&amp;IF(AND(K86&lt;&gt;"",K86&lt;=0),"Monto de factura inválido. ","")&amp;IF(AND(L86&lt;&gt;"",L86&lt;=0),"Tipo de cambio inválido. ","")))</f>
        <v/>
      </c>
    </row>
    <row r="87" ht="22" customHeight="1">
      <c r="A87" s="17" t="str">
        <f t="shared" si="4"/>
        <v/>
      </c>
      <c r="B87" s="18"/>
      <c r="C87" s="18"/>
      <c r="D87" s="18"/>
      <c r="E87" s="19"/>
      <c r="F87" s="18"/>
      <c r="G87" s="18"/>
      <c r="H87" s="20"/>
      <c r="I87" s="21"/>
      <c r="J87" s="22"/>
      <c r="K87" s="21"/>
      <c r="L87" s="23"/>
      <c r="M87" s="19"/>
      <c r="N87" s="18"/>
      <c r="O87" s="24" t="str">
        <f t="shared" si="5"/>
        <v/>
      </c>
      <c r="P87" s="25" t="str">
        <f>IF(COUNTA(B87:N87)=0,"",TRIM(IF(B87="","Falta categoría. ","")&amp;IF(AND(B87&lt;&gt;"",COUNTIF(Catalogos!$B$6:$B$12,B87)=0),"Categoría inválida. ","")&amp;IF(C87="","Falta centro de costo. ","")&amp;IF(D87="","Falta partida. ","")&amp;IF(E87="","Falta fecha. ","")&amp;IF(F87="","Falta concepto. ","")&amp;IF(G87="","Falta proveedor. ","")&amp;IF(I87="","Falta monto. ","")&amp;IF(AND(I87&lt;&gt;"",I87&lt;=0),"Monto inválido. ","")&amp;IF(AND(COUNTA(J87:M87)&gt;0,OR(J87="",K87="",L87="",M87="")),"Completa los 4 campos de moneda extranjera. ","")&amp;IF(AND(J87&lt;&gt;"",COUNTIF(Catalogos!$F$6,J87)=0),"Moneda de factura inválida. ","")&amp;IF(AND(K87&lt;&gt;"",K87&lt;=0),"Monto de factura inválido. ","")&amp;IF(AND(L87&lt;&gt;"",L87&lt;=0),"Tipo de cambio inválido. ","")))</f>
        <v/>
      </c>
    </row>
    <row r="88" ht="22" customHeight="1">
      <c r="A88" s="17" t="str">
        <f t="shared" si="4"/>
        <v/>
      </c>
      <c r="B88" s="18"/>
      <c r="C88" s="18"/>
      <c r="D88" s="18"/>
      <c r="E88" s="19"/>
      <c r="F88" s="18"/>
      <c r="G88" s="18"/>
      <c r="H88" s="20"/>
      <c r="I88" s="21"/>
      <c r="J88" s="22"/>
      <c r="K88" s="21"/>
      <c r="L88" s="23"/>
      <c r="M88" s="19"/>
      <c r="N88" s="18"/>
      <c r="O88" s="24" t="str">
        <f t="shared" si="5"/>
        <v/>
      </c>
      <c r="P88" s="25" t="str">
        <f>IF(COUNTA(B88:N88)=0,"",TRIM(IF(B88="","Falta categoría. ","")&amp;IF(AND(B88&lt;&gt;"",COUNTIF(Catalogos!$B$6:$B$12,B88)=0),"Categoría inválida. ","")&amp;IF(C88="","Falta centro de costo. ","")&amp;IF(D88="","Falta partida. ","")&amp;IF(E88="","Falta fecha. ","")&amp;IF(F88="","Falta concepto. ","")&amp;IF(G88="","Falta proveedor. ","")&amp;IF(I88="","Falta monto. ","")&amp;IF(AND(I88&lt;&gt;"",I88&lt;=0),"Monto inválido. ","")&amp;IF(AND(COUNTA(J88:M88)&gt;0,OR(J88="",K88="",L88="",M88="")),"Completa los 4 campos de moneda extranjera. ","")&amp;IF(AND(J88&lt;&gt;"",COUNTIF(Catalogos!$F$6,J88)=0),"Moneda de factura inválida. ","")&amp;IF(AND(K88&lt;&gt;"",K88&lt;=0),"Monto de factura inválido. ","")&amp;IF(AND(L88&lt;&gt;"",L88&lt;=0),"Tipo de cambio inválido. ","")))</f>
        <v/>
      </c>
    </row>
    <row r="89" ht="22" customHeight="1">
      <c r="A89" s="17" t="str">
        <f t="shared" si="4"/>
        <v/>
      </c>
      <c r="B89" s="18"/>
      <c r="C89" s="18"/>
      <c r="D89" s="18"/>
      <c r="E89" s="19"/>
      <c r="F89" s="18"/>
      <c r="G89" s="18"/>
      <c r="H89" s="20"/>
      <c r="I89" s="21"/>
      <c r="J89" s="22"/>
      <c r="K89" s="21"/>
      <c r="L89" s="23"/>
      <c r="M89" s="19"/>
      <c r="N89" s="18"/>
      <c r="O89" s="24" t="str">
        <f t="shared" si="5"/>
        <v/>
      </c>
      <c r="P89" s="25" t="str">
        <f>IF(COUNTA(B89:N89)=0,"",TRIM(IF(B89="","Falta categoría. ","")&amp;IF(AND(B89&lt;&gt;"",COUNTIF(Catalogos!$B$6:$B$12,B89)=0),"Categoría inválida. ","")&amp;IF(C89="","Falta centro de costo. ","")&amp;IF(D89="","Falta partida. ","")&amp;IF(E89="","Falta fecha. ","")&amp;IF(F89="","Falta concepto. ","")&amp;IF(G89="","Falta proveedor. ","")&amp;IF(I89="","Falta monto. ","")&amp;IF(AND(I89&lt;&gt;"",I89&lt;=0),"Monto inválido. ","")&amp;IF(AND(COUNTA(J89:M89)&gt;0,OR(J89="",K89="",L89="",M89="")),"Completa los 4 campos de moneda extranjera. ","")&amp;IF(AND(J89&lt;&gt;"",COUNTIF(Catalogos!$F$6,J89)=0),"Moneda de factura inválida. ","")&amp;IF(AND(K89&lt;&gt;"",K89&lt;=0),"Monto de factura inválido. ","")&amp;IF(AND(L89&lt;&gt;"",L89&lt;=0),"Tipo de cambio inválido. ","")))</f>
        <v/>
      </c>
    </row>
    <row r="90" ht="22" customHeight="1">
      <c r="A90" s="17" t="str">
        <f t="shared" si="4"/>
        <v/>
      </c>
      <c r="B90" s="18"/>
      <c r="C90" s="18"/>
      <c r="D90" s="18"/>
      <c r="E90" s="19"/>
      <c r="F90" s="18"/>
      <c r="G90" s="18"/>
      <c r="H90" s="20"/>
      <c r="I90" s="21"/>
      <c r="J90" s="22"/>
      <c r="K90" s="21"/>
      <c r="L90" s="23"/>
      <c r="M90" s="19"/>
      <c r="N90" s="18"/>
      <c r="O90" s="24" t="str">
        <f t="shared" si="5"/>
        <v/>
      </c>
      <c r="P90" s="25" t="str">
        <f>IF(COUNTA(B90:N90)=0,"",TRIM(IF(B90="","Falta categoría. ","")&amp;IF(AND(B90&lt;&gt;"",COUNTIF(Catalogos!$B$6:$B$12,B90)=0),"Categoría inválida. ","")&amp;IF(C90="","Falta centro de costo. ","")&amp;IF(D90="","Falta partida. ","")&amp;IF(E90="","Falta fecha. ","")&amp;IF(F90="","Falta concepto. ","")&amp;IF(G90="","Falta proveedor. ","")&amp;IF(I90="","Falta monto. ","")&amp;IF(AND(I90&lt;&gt;"",I90&lt;=0),"Monto inválido. ","")&amp;IF(AND(COUNTA(J90:M90)&gt;0,OR(J90="",K90="",L90="",M90="")),"Completa los 4 campos de moneda extranjera. ","")&amp;IF(AND(J90&lt;&gt;"",COUNTIF(Catalogos!$F$6,J90)=0),"Moneda de factura inválida. ","")&amp;IF(AND(K90&lt;&gt;"",K90&lt;=0),"Monto de factura inválido. ","")&amp;IF(AND(L90&lt;&gt;"",L90&lt;=0),"Tipo de cambio inválido. ","")))</f>
        <v/>
      </c>
    </row>
    <row r="91" ht="22" customHeight="1">
      <c r="A91" s="17" t="str">
        <f t="shared" si="4"/>
        <v/>
      </c>
      <c r="B91" s="18"/>
      <c r="C91" s="18"/>
      <c r="D91" s="18"/>
      <c r="E91" s="19"/>
      <c r="F91" s="18"/>
      <c r="G91" s="18"/>
      <c r="H91" s="20"/>
      <c r="I91" s="21"/>
      <c r="J91" s="22"/>
      <c r="K91" s="21"/>
      <c r="L91" s="23"/>
      <c r="M91" s="19"/>
      <c r="N91" s="18"/>
      <c r="O91" s="24" t="str">
        <f t="shared" si="5"/>
        <v/>
      </c>
      <c r="P91" s="25" t="str">
        <f>IF(COUNTA(B91:N91)=0,"",TRIM(IF(B91="","Falta categoría. ","")&amp;IF(AND(B91&lt;&gt;"",COUNTIF(Catalogos!$B$6:$B$12,B91)=0),"Categoría inválida. ","")&amp;IF(C91="","Falta centro de costo. ","")&amp;IF(D91="","Falta partida. ","")&amp;IF(E91="","Falta fecha. ","")&amp;IF(F91="","Falta concepto. ","")&amp;IF(G91="","Falta proveedor. ","")&amp;IF(I91="","Falta monto. ","")&amp;IF(AND(I91&lt;&gt;"",I91&lt;=0),"Monto inválido. ","")&amp;IF(AND(COUNTA(J91:M91)&gt;0,OR(J91="",K91="",L91="",M91="")),"Completa los 4 campos de moneda extranjera. ","")&amp;IF(AND(J91&lt;&gt;"",COUNTIF(Catalogos!$F$6,J91)=0),"Moneda de factura inválida. ","")&amp;IF(AND(K91&lt;&gt;"",K91&lt;=0),"Monto de factura inválido. ","")&amp;IF(AND(L91&lt;&gt;"",L91&lt;=0),"Tipo de cambio inválido. ","")))</f>
        <v/>
      </c>
    </row>
    <row r="92" ht="22" customHeight="1">
      <c r="A92" s="17" t="str">
        <f t="shared" si="4"/>
        <v/>
      </c>
      <c r="B92" s="18"/>
      <c r="C92" s="18"/>
      <c r="D92" s="18"/>
      <c r="E92" s="19"/>
      <c r="F92" s="18"/>
      <c r="G92" s="18"/>
      <c r="H92" s="20"/>
      <c r="I92" s="21"/>
      <c r="J92" s="22"/>
      <c r="K92" s="21"/>
      <c r="L92" s="23"/>
      <c r="M92" s="19"/>
      <c r="N92" s="18"/>
      <c r="O92" s="24" t="str">
        <f t="shared" si="5"/>
        <v/>
      </c>
      <c r="P92" s="25" t="str">
        <f>IF(COUNTA(B92:N92)=0,"",TRIM(IF(B92="","Falta categoría. ","")&amp;IF(AND(B92&lt;&gt;"",COUNTIF(Catalogos!$B$6:$B$12,B92)=0),"Categoría inválida. ","")&amp;IF(C92="","Falta centro de costo. ","")&amp;IF(D92="","Falta partida. ","")&amp;IF(E92="","Falta fecha. ","")&amp;IF(F92="","Falta concepto. ","")&amp;IF(G92="","Falta proveedor. ","")&amp;IF(I92="","Falta monto. ","")&amp;IF(AND(I92&lt;&gt;"",I92&lt;=0),"Monto inválido. ","")&amp;IF(AND(COUNTA(J92:M92)&gt;0,OR(J92="",K92="",L92="",M92="")),"Completa los 4 campos de moneda extranjera. ","")&amp;IF(AND(J92&lt;&gt;"",COUNTIF(Catalogos!$F$6,J92)=0),"Moneda de factura inválida. ","")&amp;IF(AND(K92&lt;&gt;"",K92&lt;=0),"Monto de factura inválido. ","")&amp;IF(AND(L92&lt;&gt;"",L92&lt;=0),"Tipo de cambio inválido. ","")))</f>
        <v/>
      </c>
    </row>
    <row r="93" ht="22" customHeight="1">
      <c r="A93" s="17" t="str">
        <f t="shared" si="4"/>
        <v/>
      </c>
      <c r="B93" s="18"/>
      <c r="C93" s="18"/>
      <c r="D93" s="18"/>
      <c r="E93" s="19"/>
      <c r="F93" s="18"/>
      <c r="G93" s="18"/>
      <c r="H93" s="20"/>
      <c r="I93" s="21"/>
      <c r="J93" s="22"/>
      <c r="K93" s="21"/>
      <c r="L93" s="23"/>
      <c r="M93" s="19"/>
      <c r="N93" s="18"/>
      <c r="O93" s="24" t="str">
        <f t="shared" si="5"/>
        <v/>
      </c>
      <c r="P93" s="25" t="str">
        <f>IF(COUNTA(B93:N93)=0,"",TRIM(IF(B93="","Falta categoría. ","")&amp;IF(AND(B93&lt;&gt;"",COUNTIF(Catalogos!$B$6:$B$12,B93)=0),"Categoría inválida. ","")&amp;IF(C93="","Falta centro de costo. ","")&amp;IF(D93="","Falta partida. ","")&amp;IF(E93="","Falta fecha. ","")&amp;IF(F93="","Falta concepto. ","")&amp;IF(G93="","Falta proveedor. ","")&amp;IF(I93="","Falta monto. ","")&amp;IF(AND(I93&lt;&gt;"",I93&lt;=0),"Monto inválido. ","")&amp;IF(AND(COUNTA(J93:M93)&gt;0,OR(J93="",K93="",L93="",M93="")),"Completa los 4 campos de moneda extranjera. ","")&amp;IF(AND(J93&lt;&gt;"",COUNTIF(Catalogos!$F$6,J93)=0),"Moneda de factura inválida. ","")&amp;IF(AND(K93&lt;&gt;"",K93&lt;=0),"Monto de factura inválido. ","")&amp;IF(AND(L93&lt;&gt;"",L93&lt;=0),"Tipo de cambio inválido. ","")))</f>
        <v/>
      </c>
    </row>
    <row r="94" ht="22" customHeight="1">
      <c r="A94" s="17" t="str">
        <f t="shared" si="4"/>
        <v/>
      </c>
      <c r="B94" s="18"/>
      <c r="C94" s="18"/>
      <c r="D94" s="18"/>
      <c r="E94" s="19"/>
      <c r="F94" s="18"/>
      <c r="G94" s="18"/>
      <c r="H94" s="20"/>
      <c r="I94" s="21"/>
      <c r="J94" s="22"/>
      <c r="K94" s="21"/>
      <c r="L94" s="23"/>
      <c r="M94" s="19"/>
      <c r="N94" s="18"/>
      <c r="O94" s="24" t="str">
        <f t="shared" si="5"/>
        <v/>
      </c>
      <c r="P94" s="25" t="str">
        <f>IF(COUNTA(B94:N94)=0,"",TRIM(IF(B94="","Falta categoría. ","")&amp;IF(AND(B94&lt;&gt;"",COUNTIF(Catalogos!$B$6:$B$12,B94)=0),"Categoría inválida. ","")&amp;IF(C94="","Falta centro de costo. ","")&amp;IF(D94="","Falta partida. ","")&amp;IF(E94="","Falta fecha. ","")&amp;IF(F94="","Falta concepto. ","")&amp;IF(G94="","Falta proveedor. ","")&amp;IF(I94="","Falta monto. ","")&amp;IF(AND(I94&lt;&gt;"",I94&lt;=0),"Monto inválido. ","")&amp;IF(AND(COUNTA(J94:M94)&gt;0,OR(J94="",K94="",L94="",M94="")),"Completa los 4 campos de moneda extranjera. ","")&amp;IF(AND(J94&lt;&gt;"",COUNTIF(Catalogos!$F$6,J94)=0),"Moneda de factura inválida. ","")&amp;IF(AND(K94&lt;&gt;"",K94&lt;=0),"Monto de factura inválido. ","")&amp;IF(AND(L94&lt;&gt;"",L94&lt;=0),"Tipo de cambio inválido. ","")))</f>
        <v/>
      </c>
    </row>
    <row r="95" ht="22" customHeight="1">
      <c r="A95" s="17" t="str">
        <f t="shared" si="4"/>
        <v/>
      </c>
      <c r="B95" s="18"/>
      <c r="C95" s="18"/>
      <c r="D95" s="18"/>
      <c r="E95" s="19"/>
      <c r="F95" s="18"/>
      <c r="G95" s="18"/>
      <c r="H95" s="20"/>
      <c r="I95" s="21"/>
      <c r="J95" s="22"/>
      <c r="K95" s="21"/>
      <c r="L95" s="23"/>
      <c r="M95" s="19"/>
      <c r="N95" s="18"/>
      <c r="O95" s="24" t="str">
        <f t="shared" si="5"/>
        <v/>
      </c>
      <c r="P95" s="25" t="str">
        <f>IF(COUNTA(B95:N95)=0,"",TRIM(IF(B95="","Falta categoría. ","")&amp;IF(AND(B95&lt;&gt;"",COUNTIF(Catalogos!$B$6:$B$12,B95)=0),"Categoría inválida. ","")&amp;IF(C95="","Falta centro de costo. ","")&amp;IF(D95="","Falta partida. ","")&amp;IF(E95="","Falta fecha. ","")&amp;IF(F95="","Falta concepto. ","")&amp;IF(G95="","Falta proveedor. ","")&amp;IF(I95="","Falta monto. ","")&amp;IF(AND(I95&lt;&gt;"",I95&lt;=0),"Monto inválido. ","")&amp;IF(AND(COUNTA(J95:M95)&gt;0,OR(J95="",K95="",L95="",M95="")),"Completa los 4 campos de moneda extranjera. ","")&amp;IF(AND(J95&lt;&gt;"",COUNTIF(Catalogos!$F$6,J95)=0),"Moneda de factura inválida. ","")&amp;IF(AND(K95&lt;&gt;"",K95&lt;=0),"Monto de factura inválido. ","")&amp;IF(AND(L95&lt;&gt;"",L95&lt;=0),"Tipo de cambio inválido. ","")))</f>
        <v/>
      </c>
    </row>
    <row r="96" ht="22" customHeight="1">
      <c r="A96" s="17" t="str">
        <f t="shared" si="4"/>
        <v/>
      </c>
      <c r="B96" s="18"/>
      <c r="C96" s="18"/>
      <c r="D96" s="18"/>
      <c r="E96" s="19"/>
      <c r="F96" s="18"/>
      <c r="G96" s="18"/>
      <c r="H96" s="20"/>
      <c r="I96" s="21"/>
      <c r="J96" s="22"/>
      <c r="K96" s="21"/>
      <c r="L96" s="23"/>
      <c r="M96" s="19"/>
      <c r="N96" s="18"/>
      <c r="O96" s="24" t="str">
        <f t="shared" si="5"/>
        <v/>
      </c>
      <c r="P96" s="25" t="str">
        <f>IF(COUNTA(B96:N96)=0,"",TRIM(IF(B96="","Falta categoría. ","")&amp;IF(AND(B96&lt;&gt;"",COUNTIF(Catalogos!$B$6:$B$12,B96)=0),"Categoría inválida. ","")&amp;IF(C96="","Falta centro de costo. ","")&amp;IF(D96="","Falta partida. ","")&amp;IF(E96="","Falta fecha. ","")&amp;IF(F96="","Falta concepto. ","")&amp;IF(G96="","Falta proveedor. ","")&amp;IF(I96="","Falta monto. ","")&amp;IF(AND(I96&lt;&gt;"",I96&lt;=0),"Monto inválido. ","")&amp;IF(AND(COUNTA(J96:M96)&gt;0,OR(J96="",K96="",L96="",M96="")),"Completa los 4 campos de moneda extranjera. ","")&amp;IF(AND(J96&lt;&gt;"",COUNTIF(Catalogos!$F$6,J96)=0),"Moneda de factura inválida. ","")&amp;IF(AND(K96&lt;&gt;"",K96&lt;=0),"Monto de factura inválido. ","")&amp;IF(AND(L96&lt;&gt;"",L96&lt;=0),"Tipo de cambio inválido. ","")))</f>
        <v/>
      </c>
    </row>
    <row r="97" ht="22" customHeight="1">
      <c r="A97" s="17" t="str">
        <f t="shared" si="4"/>
        <v/>
      </c>
      <c r="B97" s="18"/>
      <c r="C97" s="18"/>
      <c r="D97" s="18"/>
      <c r="E97" s="19"/>
      <c r="F97" s="18"/>
      <c r="G97" s="18"/>
      <c r="H97" s="20"/>
      <c r="I97" s="21"/>
      <c r="J97" s="22"/>
      <c r="K97" s="21"/>
      <c r="L97" s="23"/>
      <c r="M97" s="19"/>
      <c r="N97" s="18"/>
      <c r="O97" s="24" t="str">
        <f t="shared" si="5"/>
        <v/>
      </c>
      <c r="P97" s="25" t="str">
        <f>IF(COUNTA(B97:N97)=0,"",TRIM(IF(B97="","Falta categoría. ","")&amp;IF(AND(B97&lt;&gt;"",COUNTIF(Catalogos!$B$6:$B$12,B97)=0),"Categoría inválida. ","")&amp;IF(C97="","Falta centro de costo. ","")&amp;IF(D97="","Falta partida. ","")&amp;IF(E97="","Falta fecha. ","")&amp;IF(F97="","Falta concepto. ","")&amp;IF(G97="","Falta proveedor. ","")&amp;IF(I97="","Falta monto. ","")&amp;IF(AND(I97&lt;&gt;"",I97&lt;=0),"Monto inválido. ","")&amp;IF(AND(COUNTA(J97:M97)&gt;0,OR(J97="",K97="",L97="",M97="")),"Completa los 4 campos de moneda extranjera. ","")&amp;IF(AND(J97&lt;&gt;"",COUNTIF(Catalogos!$F$6,J97)=0),"Moneda de factura inválida. ","")&amp;IF(AND(K97&lt;&gt;"",K97&lt;=0),"Monto de factura inválido. ","")&amp;IF(AND(L97&lt;&gt;"",L97&lt;=0),"Tipo de cambio inválido. ","")))</f>
        <v/>
      </c>
    </row>
    <row r="98" ht="22" customHeight="1">
      <c r="A98" s="17" t="str">
        <f t="shared" si="4"/>
        <v/>
      </c>
      <c r="B98" s="18"/>
      <c r="C98" s="18"/>
      <c r="D98" s="18"/>
      <c r="E98" s="19"/>
      <c r="F98" s="18"/>
      <c r="G98" s="18"/>
      <c r="H98" s="20"/>
      <c r="I98" s="21"/>
      <c r="J98" s="22"/>
      <c r="K98" s="21"/>
      <c r="L98" s="23"/>
      <c r="M98" s="19"/>
      <c r="N98" s="18"/>
      <c r="O98" s="24" t="str">
        <f t="shared" si="5"/>
        <v/>
      </c>
      <c r="P98" s="25" t="str">
        <f>IF(COUNTA(B98:N98)=0,"",TRIM(IF(B98="","Falta categoría. ","")&amp;IF(AND(B98&lt;&gt;"",COUNTIF(Catalogos!$B$6:$B$12,B98)=0),"Categoría inválida. ","")&amp;IF(C98="","Falta centro de costo. ","")&amp;IF(D98="","Falta partida. ","")&amp;IF(E98="","Falta fecha. ","")&amp;IF(F98="","Falta concepto. ","")&amp;IF(G98="","Falta proveedor. ","")&amp;IF(I98="","Falta monto. ","")&amp;IF(AND(I98&lt;&gt;"",I98&lt;=0),"Monto inválido. ","")&amp;IF(AND(COUNTA(J98:M98)&gt;0,OR(J98="",K98="",L98="",M98="")),"Completa los 4 campos de moneda extranjera. ","")&amp;IF(AND(J98&lt;&gt;"",COUNTIF(Catalogos!$F$6,J98)=0),"Moneda de factura inválida. ","")&amp;IF(AND(K98&lt;&gt;"",K98&lt;=0),"Monto de factura inválido. ","")&amp;IF(AND(L98&lt;&gt;"",L98&lt;=0),"Tipo de cambio inválido. ","")))</f>
        <v/>
      </c>
    </row>
    <row r="99" ht="22" customHeight="1">
      <c r="A99" s="17" t="str">
        <f t="shared" si="4"/>
        <v/>
      </c>
      <c r="B99" s="18"/>
      <c r="C99" s="18"/>
      <c r="D99" s="18"/>
      <c r="E99" s="19"/>
      <c r="F99" s="18"/>
      <c r="G99" s="18"/>
      <c r="H99" s="20"/>
      <c r="I99" s="21"/>
      <c r="J99" s="22"/>
      <c r="K99" s="21"/>
      <c r="L99" s="23"/>
      <c r="M99" s="19"/>
      <c r="N99" s="18"/>
      <c r="O99" s="24" t="str">
        <f t="shared" si="5"/>
        <v/>
      </c>
      <c r="P99" s="25" t="str">
        <f>IF(COUNTA(B99:N99)=0,"",TRIM(IF(B99="","Falta categoría. ","")&amp;IF(AND(B99&lt;&gt;"",COUNTIF(Catalogos!$B$6:$B$12,B99)=0),"Categoría inválida. ","")&amp;IF(C99="","Falta centro de costo. ","")&amp;IF(D99="","Falta partida. ","")&amp;IF(E99="","Falta fecha. ","")&amp;IF(F99="","Falta concepto. ","")&amp;IF(G99="","Falta proveedor. ","")&amp;IF(I99="","Falta monto. ","")&amp;IF(AND(I99&lt;&gt;"",I99&lt;=0),"Monto inválido. ","")&amp;IF(AND(COUNTA(J99:M99)&gt;0,OR(J99="",K99="",L99="",M99="")),"Completa los 4 campos de moneda extranjera. ","")&amp;IF(AND(J99&lt;&gt;"",COUNTIF(Catalogos!$F$6,J99)=0),"Moneda de factura inválida. ","")&amp;IF(AND(K99&lt;&gt;"",K99&lt;=0),"Monto de factura inválido. ","")&amp;IF(AND(L99&lt;&gt;"",L99&lt;=0),"Tipo de cambio inválido. ","")))</f>
        <v/>
      </c>
    </row>
    <row r="100" ht="22" customHeight="1">
      <c r="A100" s="17" t="str">
        <f t="shared" ref="A100:A163" si="6">IF(COUNTA(B100:N100)=0,"",ROW()-5)</f>
        <v/>
      </c>
      <c r="B100" s="18"/>
      <c r="C100" s="18"/>
      <c r="D100" s="18"/>
      <c r="E100" s="19"/>
      <c r="F100" s="18"/>
      <c r="G100" s="18"/>
      <c r="H100" s="20"/>
      <c r="I100" s="21"/>
      <c r="J100" s="22"/>
      <c r="K100" s="21"/>
      <c r="L100" s="23"/>
      <c r="M100" s="19"/>
      <c r="N100" s="18"/>
      <c r="O100" s="24" t="str">
        <f t="shared" ref="O100:O163" si="7">IF(COUNTA(B100:N100)=0,"",IF(P100="","LISTO","REVISAR"))</f>
        <v/>
      </c>
      <c r="P100" s="25" t="str">
        <f>IF(COUNTA(B100:N100)=0,"",TRIM(IF(B100="","Falta categoría. ","")&amp;IF(AND(B100&lt;&gt;"",COUNTIF(Catalogos!$B$6:$B$12,B100)=0),"Categoría inválida. ","")&amp;IF(C100="","Falta centro de costo. ","")&amp;IF(D100="","Falta partida. ","")&amp;IF(E100="","Falta fecha. ","")&amp;IF(F100="","Falta concepto. ","")&amp;IF(G100="","Falta proveedor. ","")&amp;IF(I100="","Falta monto. ","")&amp;IF(AND(I100&lt;&gt;"",I100&lt;=0),"Monto inválido. ","")&amp;IF(AND(COUNTA(J100:M100)&gt;0,OR(J100="",K100="",L100="",M100="")),"Completa los 4 campos de moneda extranjera. ","")&amp;IF(AND(J100&lt;&gt;"",COUNTIF(Catalogos!$F$6:$F$6,J100)=0),"Moneda de factura inválida. ","")&amp;IF(AND(K100&lt;&gt;"",K100&lt;=0),"Monto de factura inválido. ","")&amp;IF(AND(L100&lt;&gt;"",L100&lt;=0),"Tipo de cambio inválido. ","")))</f>
        <v/>
      </c>
    </row>
    <row r="101" ht="22" customHeight="1">
      <c r="A101" s="17" t="str">
        <f t="shared" si="6"/>
        <v/>
      </c>
      <c r="B101" s="18"/>
      <c r="C101" s="18"/>
      <c r="D101" s="18"/>
      <c r="E101" s="19"/>
      <c r="F101" s="18"/>
      <c r="G101" s="18"/>
      <c r="H101" s="20"/>
      <c r="I101" s="21"/>
      <c r="J101" s="22"/>
      <c r="K101" s="21"/>
      <c r="L101" s="23"/>
      <c r="M101" s="19"/>
      <c r="N101" s="18"/>
      <c r="O101" s="24" t="str">
        <f t="shared" si="7"/>
        <v/>
      </c>
      <c r="P101" s="25" t="str">
        <f>IF(COUNTA(B101:N101)=0,"",TRIM(IF(B101="","Falta categoría. ","")&amp;IF(AND(B101&lt;&gt;"",COUNTIF(Catalogos!$B$6:$B$12,B101)=0),"Categoría inválida. ","")&amp;IF(C101="","Falta centro de costo. ","")&amp;IF(D101="","Falta partida. ","")&amp;IF(E101="","Falta fecha. ","")&amp;IF(F101="","Falta concepto. ","")&amp;IF(G101="","Falta proveedor. ","")&amp;IF(I101="","Falta monto. ","")&amp;IF(AND(I101&lt;&gt;"",I101&lt;=0),"Monto inválido. ","")&amp;IF(AND(COUNTA(J101:M101)&gt;0,OR(J101="",K101="",L101="",M101="")),"Completa los 4 campos de moneda extranjera. ","")&amp;IF(AND(J101&lt;&gt;"",COUNTIF(Catalogos!$F$6,J101)=0),"Moneda de factura inválida. ","")&amp;IF(AND(K101&lt;&gt;"",K101&lt;=0),"Monto de factura inválido. ","")&amp;IF(AND(L101&lt;&gt;"",L101&lt;=0),"Tipo de cambio inválido. ","")))</f>
        <v/>
      </c>
    </row>
    <row r="102" ht="22" customHeight="1">
      <c r="A102" s="17" t="str">
        <f t="shared" si="6"/>
        <v/>
      </c>
      <c r="B102" s="18"/>
      <c r="C102" s="18"/>
      <c r="D102" s="18"/>
      <c r="E102" s="19"/>
      <c r="F102" s="18"/>
      <c r="G102" s="18"/>
      <c r="H102" s="20"/>
      <c r="I102" s="21"/>
      <c r="J102" s="22"/>
      <c r="K102" s="21"/>
      <c r="L102" s="23"/>
      <c r="M102" s="19"/>
      <c r="N102" s="18"/>
      <c r="O102" s="24" t="str">
        <f t="shared" si="7"/>
        <v/>
      </c>
      <c r="P102" s="25" t="str">
        <f>IF(COUNTA(B102:N102)=0,"",TRIM(IF(B102="","Falta categoría. ","")&amp;IF(AND(B102&lt;&gt;"",COUNTIF(Catalogos!$B$6:$B$12,B102)=0),"Categoría inválida. ","")&amp;IF(C102="","Falta centro de costo. ","")&amp;IF(D102="","Falta partida. ","")&amp;IF(E102="","Falta fecha. ","")&amp;IF(F102="","Falta concepto. ","")&amp;IF(G102="","Falta proveedor. ","")&amp;IF(I102="","Falta monto. ","")&amp;IF(AND(I102&lt;&gt;"",I102&lt;=0),"Monto inválido. ","")&amp;IF(AND(COUNTA(J102:M102)&gt;0,OR(J102="",K102="",L102="",M102="")),"Completa los 4 campos de moneda extranjera. ","")&amp;IF(AND(J102&lt;&gt;"",COUNTIF(Catalogos!$F$6,J102)=0),"Moneda de factura inválida. ","")&amp;IF(AND(K102&lt;&gt;"",K102&lt;=0),"Monto de factura inválido. ","")&amp;IF(AND(L102&lt;&gt;"",L102&lt;=0),"Tipo de cambio inválido. ","")))</f>
        <v/>
      </c>
    </row>
    <row r="103" ht="22" customHeight="1">
      <c r="A103" s="17" t="str">
        <f t="shared" si="6"/>
        <v/>
      </c>
      <c r="B103" s="18"/>
      <c r="C103" s="18"/>
      <c r="D103" s="18"/>
      <c r="E103" s="19"/>
      <c r="F103" s="18"/>
      <c r="G103" s="18"/>
      <c r="H103" s="20"/>
      <c r="I103" s="21"/>
      <c r="J103" s="22"/>
      <c r="K103" s="21"/>
      <c r="L103" s="23"/>
      <c r="M103" s="19"/>
      <c r="N103" s="18"/>
      <c r="O103" s="24" t="str">
        <f t="shared" si="7"/>
        <v/>
      </c>
      <c r="P103" s="25" t="str">
        <f>IF(COUNTA(B103:N103)=0,"",TRIM(IF(B103="","Falta categoría. ","")&amp;IF(AND(B103&lt;&gt;"",COUNTIF(Catalogos!$B$6:$B$12,B103)=0),"Categoría inválida. ","")&amp;IF(C103="","Falta centro de costo. ","")&amp;IF(D103="","Falta partida. ","")&amp;IF(E103="","Falta fecha. ","")&amp;IF(F103="","Falta concepto. ","")&amp;IF(G103="","Falta proveedor. ","")&amp;IF(I103="","Falta monto. ","")&amp;IF(AND(I103&lt;&gt;"",I103&lt;=0),"Monto inválido. ","")&amp;IF(AND(COUNTA(J103:M103)&gt;0,OR(J103="",K103="",L103="",M103="")),"Completa los 4 campos de moneda extranjera. ","")&amp;IF(AND(J103&lt;&gt;"",COUNTIF(Catalogos!$F$6,J103)=0),"Moneda de factura inválida. ","")&amp;IF(AND(K103&lt;&gt;"",K103&lt;=0),"Monto de factura inválido. ","")&amp;IF(AND(L103&lt;&gt;"",L103&lt;=0),"Tipo de cambio inválido. ","")))</f>
        <v/>
      </c>
    </row>
    <row r="104" ht="22" customHeight="1">
      <c r="A104" s="17" t="str">
        <f t="shared" si="6"/>
        <v/>
      </c>
      <c r="B104" s="18"/>
      <c r="C104" s="18"/>
      <c r="D104" s="18"/>
      <c r="E104" s="19"/>
      <c r="F104" s="18"/>
      <c r="G104" s="18"/>
      <c r="H104" s="20"/>
      <c r="I104" s="21"/>
      <c r="J104" s="22"/>
      <c r="K104" s="21"/>
      <c r="L104" s="23"/>
      <c r="M104" s="19"/>
      <c r="N104" s="18"/>
      <c r="O104" s="24" t="str">
        <f t="shared" si="7"/>
        <v/>
      </c>
      <c r="P104" s="25" t="str">
        <f>IF(COUNTA(B104:N104)=0,"",TRIM(IF(B104="","Falta categoría. ","")&amp;IF(AND(B104&lt;&gt;"",COUNTIF(Catalogos!$B$6:$B$12,B104)=0),"Categoría inválida. ","")&amp;IF(C104="","Falta centro de costo. ","")&amp;IF(D104="","Falta partida. ","")&amp;IF(E104="","Falta fecha. ","")&amp;IF(F104="","Falta concepto. ","")&amp;IF(G104="","Falta proveedor. ","")&amp;IF(I104="","Falta monto. ","")&amp;IF(AND(I104&lt;&gt;"",I104&lt;=0),"Monto inválido. ","")&amp;IF(AND(COUNTA(J104:M104)&gt;0,OR(J104="",K104="",L104="",M104="")),"Completa los 4 campos de moneda extranjera. ","")&amp;IF(AND(J104&lt;&gt;"",COUNTIF(Catalogos!$F$6,J104)=0),"Moneda de factura inválida. ","")&amp;IF(AND(K104&lt;&gt;"",K104&lt;=0),"Monto de factura inválido. ","")&amp;IF(AND(L104&lt;&gt;"",L104&lt;=0),"Tipo de cambio inválido. ","")))</f>
        <v/>
      </c>
    </row>
    <row r="105" ht="22" customHeight="1">
      <c r="A105" s="17" t="str">
        <f t="shared" si="6"/>
        <v/>
      </c>
      <c r="B105" s="18"/>
      <c r="C105" s="18"/>
      <c r="D105" s="18"/>
      <c r="E105" s="19"/>
      <c r="F105" s="18"/>
      <c r="G105" s="18"/>
      <c r="H105" s="20"/>
      <c r="I105" s="21"/>
      <c r="J105" s="22"/>
      <c r="K105" s="21"/>
      <c r="L105" s="23"/>
      <c r="M105" s="19"/>
      <c r="N105" s="18"/>
      <c r="O105" s="24" t="str">
        <f t="shared" si="7"/>
        <v/>
      </c>
      <c r="P105" s="25" t="str">
        <f>IF(COUNTA(B105:N105)=0,"",TRIM(IF(B105="","Falta categoría. ","")&amp;IF(AND(B105&lt;&gt;"",COUNTIF(Catalogos!$B$6:$B$12,B105)=0),"Categoría inválida. ","")&amp;IF(C105="","Falta centro de costo. ","")&amp;IF(D105="","Falta partida. ","")&amp;IF(E105="","Falta fecha. ","")&amp;IF(F105="","Falta concepto. ","")&amp;IF(G105="","Falta proveedor. ","")&amp;IF(I105="","Falta monto. ","")&amp;IF(AND(I105&lt;&gt;"",I105&lt;=0),"Monto inválido. ","")&amp;IF(AND(COUNTA(J105:M105)&gt;0,OR(J105="",K105="",L105="",M105="")),"Completa los 4 campos de moneda extranjera. ","")&amp;IF(AND(J105&lt;&gt;"",COUNTIF(Catalogos!$F$6,J105)=0),"Moneda de factura inválida. ","")&amp;IF(AND(K105&lt;&gt;"",K105&lt;=0),"Monto de factura inválido. ","")&amp;IF(AND(L105&lt;&gt;"",L105&lt;=0),"Tipo de cambio inválido. ","")))</f>
        <v/>
      </c>
    </row>
    <row r="106" ht="22" customHeight="1">
      <c r="A106" s="17" t="str">
        <f t="shared" si="6"/>
        <v/>
      </c>
      <c r="B106" s="18"/>
      <c r="C106" s="18"/>
      <c r="D106" s="18"/>
      <c r="E106" s="19"/>
      <c r="F106" s="18"/>
      <c r="G106" s="18"/>
      <c r="H106" s="20"/>
      <c r="I106" s="21"/>
      <c r="J106" s="22"/>
      <c r="K106" s="21"/>
      <c r="L106" s="23"/>
      <c r="M106" s="19"/>
      <c r="N106" s="18"/>
      <c r="O106" s="24" t="str">
        <f t="shared" si="7"/>
        <v/>
      </c>
      <c r="P106" s="25" t="str">
        <f>IF(COUNTA(B106:N106)=0,"",TRIM(IF(B106="","Falta categoría. ","")&amp;IF(AND(B106&lt;&gt;"",COUNTIF(Catalogos!$B$6:$B$12,B106)=0),"Categoría inválida. ","")&amp;IF(C106="","Falta centro de costo. ","")&amp;IF(D106="","Falta partida. ","")&amp;IF(E106="","Falta fecha. ","")&amp;IF(F106="","Falta concepto. ","")&amp;IF(G106="","Falta proveedor. ","")&amp;IF(I106="","Falta monto. ","")&amp;IF(AND(I106&lt;&gt;"",I106&lt;=0),"Monto inválido. ","")&amp;IF(AND(COUNTA(J106:M106)&gt;0,OR(J106="",K106="",L106="",M106="")),"Completa los 4 campos de moneda extranjera. ","")&amp;IF(AND(J106&lt;&gt;"",COUNTIF(Catalogos!$F$6,J106)=0),"Moneda de factura inválida. ","")&amp;IF(AND(K106&lt;&gt;"",K106&lt;=0),"Monto de factura inválido. ","")&amp;IF(AND(L106&lt;&gt;"",L106&lt;=0),"Tipo de cambio inválido. ","")))</f>
        <v/>
      </c>
    </row>
    <row r="107" ht="22" customHeight="1">
      <c r="A107" s="17" t="str">
        <f t="shared" si="6"/>
        <v/>
      </c>
      <c r="B107" s="18"/>
      <c r="C107" s="18"/>
      <c r="D107" s="18"/>
      <c r="E107" s="19"/>
      <c r="F107" s="18"/>
      <c r="G107" s="18"/>
      <c r="H107" s="20"/>
      <c r="I107" s="21"/>
      <c r="J107" s="22"/>
      <c r="K107" s="21"/>
      <c r="L107" s="23"/>
      <c r="M107" s="19"/>
      <c r="N107" s="18"/>
      <c r="O107" s="24" t="str">
        <f t="shared" si="7"/>
        <v/>
      </c>
      <c r="P107" s="25" t="str">
        <f>IF(COUNTA(B107:N107)=0,"",TRIM(IF(B107="","Falta categoría. ","")&amp;IF(AND(B107&lt;&gt;"",COUNTIF(Catalogos!$B$6:$B$12,B107)=0),"Categoría inválida. ","")&amp;IF(C107="","Falta centro de costo. ","")&amp;IF(D107="","Falta partida. ","")&amp;IF(E107="","Falta fecha. ","")&amp;IF(F107="","Falta concepto. ","")&amp;IF(G107="","Falta proveedor. ","")&amp;IF(I107="","Falta monto. ","")&amp;IF(AND(I107&lt;&gt;"",I107&lt;=0),"Monto inválido. ","")&amp;IF(AND(COUNTA(J107:M107)&gt;0,OR(J107="",K107="",L107="",M107="")),"Completa los 4 campos de moneda extranjera. ","")&amp;IF(AND(J107&lt;&gt;"",COUNTIF(Catalogos!$F$6,J107)=0),"Moneda de factura inválida. ","")&amp;IF(AND(K107&lt;&gt;"",K107&lt;=0),"Monto de factura inválido. ","")&amp;IF(AND(L107&lt;&gt;"",L107&lt;=0),"Tipo de cambio inválido. ","")))</f>
        <v/>
      </c>
    </row>
    <row r="108" ht="22" customHeight="1">
      <c r="A108" s="17" t="str">
        <f t="shared" si="6"/>
        <v/>
      </c>
      <c r="B108" s="18"/>
      <c r="C108" s="18"/>
      <c r="D108" s="18"/>
      <c r="E108" s="19"/>
      <c r="F108" s="18"/>
      <c r="G108" s="18"/>
      <c r="H108" s="20"/>
      <c r="I108" s="21"/>
      <c r="J108" s="22"/>
      <c r="K108" s="21"/>
      <c r="L108" s="23"/>
      <c r="M108" s="19"/>
      <c r="N108" s="18"/>
      <c r="O108" s="24" t="str">
        <f t="shared" si="7"/>
        <v/>
      </c>
      <c r="P108" s="25" t="str">
        <f>IF(COUNTA(B108:N108)=0,"",TRIM(IF(B108="","Falta categoría. ","")&amp;IF(AND(B108&lt;&gt;"",COUNTIF(Catalogos!$B$6:$B$12,B108)=0),"Categoría inválida. ","")&amp;IF(C108="","Falta centro de costo. ","")&amp;IF(D108="","Falta partida. ","")&amp;IF(E108="","Falta fecha. ","")&amp;IF(F108="","Falta concepto. ","")&amp;IF(G108="","Falta proveedor. ","")&amp;IF(I108="","Falta monto. ","")&amp;IF(AND(I108&lt;&gt;"",I108&lt;=0),"Monto inválido. ","")&amp;IF(AND(COUNTA(J108:M108)&gt;0,OR(J108="",K108="",L108="",M108="")),"Completa los 4 campos de moneda extranjera. ","")&amp;IF(AND(J108&lt;&gt;"",COUNTIF(Catalogos!$F$6,J108)=0),"Moneda de factura inválida. ","")&amp;IF(AND(K108&lt;&gt;"",K108&lt;=0),"Monto de factura inválido. ","")&amp;IF(AND(L108&lt;&gt;"",L108&lt;=0),"Tipo de cambio inválido. ","")))</f>
        <v/>
      </c>
    </row>
    <row r="109" ht="22" customHeight="1">
      <c r="A109" s="17" t="str">
        <f t="shared" si="6"/>
        <v/>
      </c>
      <c r="B109" s="18"/>
      <c r="C109" s="18"/>
      <c r="D109" s="18"/>
      <c r="E109" s="19"/>
      <c r="F109" s="18"/>
      <c r="G109" s="18"/>
      <c r="H109" s="20"/>
      <c r="I109" s="21"/>
      <c r="J109" s="22"/>
      <c r="K109" s="21"/>
      <c r="L109" s="23"/>
      <c r="M109" s="19"/>
      <c r="N109" s="18"/>
      <c r="O109" s="24" t="str">
        <f t="shared" si="7"/>
        <v/>
      </c>
      <c r="P109" s="25" t="str">
        <f>IF(COUNTA(B109:N109)=0,"",TRIM(IF(B109="","Falta categoría. ","")&amp;IF(AND(B109&lt;&gt;"",COUNTIF(Catalogos!$B$6:$B$12,B109)=0),"Categoría inválida. ","")&amp;IF(C109="","Falta centro de costo. ","")&amp;IF(D109="","Falta partida. ","")&amp;IF(E109="","Falta fecha. ","")&amp;IF(F109="","Falta concepto. ","")&amp;IF(G109="","Falta proveedor. ","")&amp;IF(I109="","Falta monto. ","")&amp;IF(AND(I109&lt;&gt;"",I109&lt;=0),"Monto inválido. ","")&amp;IF(AND(COUNTA(J109:M109)&gt;0,OR(J109="",K109="",L109="",M109="")),"Completa los 4 campos de moneda extranjera. ","")&amp;IF(AND(J109&lt;&gt;"",COUNTIF(Catalogos!$F$6,J109)=0),"Moneda de factura inválida. ","")&amp;IF(AND(K109&lt;&gt;"",K109&lt;=0),"Monto de factura inválido. ","")&amp;IF(AND(L109&lt;&gt;"",L109&lt;=0),"Tipo de cambio inválido. ","")))</f>
        <v/>
      </c>
    </row>
    <row r="110" ht="22" customHeight="1">
      <c r="A110" s="17" t="str">
        <f t="shared" si="6"/>
        <v/>
      </c>
      <c r="B110" s="18"/>
      <c r="C110" s="18"/>
      <c r="D110" s="18"/>
      <c r="E110" s="19"/>
      <c r="F110" s="18"/>
      <c r="G110" s="18"/>
      <c r="H110" s="20"/>
      <c r="I110" s="21"/>
      <c r="J110" s="22"/>
      <c r="K110" s="21"/>
      <c r="L110" s="23"/>
      <c r="M110" s="19"/>
      <c r="N110" s="18"/>
      <c r="O110" s="24" t="str">
        <f t="shared" si="7"/>
        <v/>
      </c>
      <c r="P110" s="25" t="str">
        <f>IF(COUNTA(B110:N110)=0,"",TRIM(IF(B110="","Falta categoría. ","")&amp;IF(AND(B110&lt;&gt;"",COUNTIF(Catalogos!$B$6:$B$12,B110)=0),"Categoría inválida. ","")&amp;IF(C110="","Falta centro de costo. ","")&amp;IF(D110="","Falta partida. ","")&amp;IF(E110="","Falta fecha. ","")&amp;IF(F110="","Falta concepto. ","")&amp;IF(G110="","Falta proveedor. ","")&amp;IF(I110="","Falta monto. ","")&amp;IF(AND(I110&lt;&gt;"",I110&lt;=0),"Monto inválido. ","")&amp;IF(AND(COUNTA(J110:M110)&gt;0,OR(J110="",K110="",L110="",M110="")),"Completa los 4 campos de moneda extranjera. ","")&amp;IF(AND(J110&lt;&gt;"",COUNTIF(Catalogos!$F$6,J110)=0),"Moneda de factura inválida. ","")&amp;IF(AND(K110&lt;&gt;"",K110&lt;=0),"Monto de factura inválido. ","")&amp;IF(AND(L110&lt;&gt;"",L110&lt;=0),"Tipo de cambio inválido. ","")))</f>
        <v/>
      </c>
    </row>
    <row r="111" ht="22" customHeight="1">
      <c r="A111" s="17" t="str">
        <f t="shared" si="6"/>
        <v/>
      </c>
      <c r="B111" s="18"/>
      <c r="C111" s="18"/>
      <c r="D111" s="18"/>
      <c r="E111" s="19"/>
      <c r="F111" s="18"/>
      <c r="G111" s="18"/>
      <c r="H111" s="20"/>
      <c r="I111" s="21"/>
      <c r="J111" s="22"/>
      <c r="K111" s="21"/>
      <c r="L111" s="23"/>
      <c r="M111" s="19"/>
      <c r="N111" s="18"/>
      <c r="O111" s="24" t="str">
        <f t="shared" si="7"/>
        <v/>
      </c>
      <c r="P111" s="25" t="str">
        <f>IF(COUNTA(B111:N111)=0,"",TRIM(IF(B111="","Falta categoría. ","")&amp;IF(AND(B111&lt;&gt;"",COUNTIF(Catalogos!$B$6:$B$12,B111)=0),"Categoría inválida. ","")&amp;IF(C111="","Falta centro de costo. ","")&amp;IF(D111="","Falta partida. ","")&amp;IF(E111="","Falta fecha. ","")&amp;IF(F111="","Falta concepto. ","")&amp;IF(G111="","Falta proveedor. ","")&amp;IF(I111="","Falta monto. ","")&amp;IF(AND(I111&lt;&gt;"",I111&lt;=0),"Monto inválido. ","")&amp;IF(AND(COUNTA(J111:M111)&gt;0,OR(J111="",K111="",L111="",M111="")),"Completa los 4 campos de moneda extranjera. ","")&amp;IF(AND(J111&lt;&gt;"",COUNTIF(Catalogos!$F$6,J111)=0),"Moneda de factura inválida. ","")&amp;IF(AND(K111&lt;&gt;"",K111&lt;=0),"Monto de factura inválido. ","")&amp;IF(AND(L111&lt;&gt;"",L111&lt;=0),"Tipo de cambio inválido. ","")))</f>
        <v/>
      </c>
    </row>
    <row r="112" ht="22" customHeight="1">
      <c r="A112" s="17" t="str">
        <f t="shared" si="6"/>
        <v/>
      </c>
      <c r="B112" s="18"/>
      <c r="C112" s="18"/>
      <c r="D112" s="18"/>
      <c r="E112" s="19"/>
      <c r="F112" s="18"/>
      <c r="G112" s="18"/>
      <c r="H112" s="20"/>
      <c r="I112" s="21"/>
      <c r="J112" s="22"/>
      <c r="K112" s="21"/>
      <c r="L112" s="23"/>
      <c r="M112" s="19"/>
      <c r="N112" s="18"/>
      <c r="O112" s="24" t="str">
        <f t="shared" si="7"/>
        <v/>
      </c>
      <c r="P112" s="25" t="str">
        <f>IF(COUNTA(B112:N112)=0,"",TRIM(IF(B112="","Falta categoría. ","")&amp;IF(AND(B112&lt;&gt;"",COUNTIF(Catalogos!$B$6:$B$12,B112)=0),"Categoría inválida. ","")&amp;IF(C112="","Falta centro de costo. ","")&amp;IF(D112="","Falta partida. ","")&amp;IF(E112="","Falta fecha. ","")&amp;IF(F112="","Falta concepto. ","")&amp;IF(G112="","Falta proveedor. ","")&amp;IF(I112="","Falta monto. ","")&amp;IF(AND(I112&lt;&gt;"",I112&lt;=0),"Monto inválido. ","")&amp;IF(AND(COUNTA(J112:M112)&gt;0,OR(J112="",K112="",L112="",M112="")),"Completa los 4 campos de moneda extranjera. ","")&amp;IF(AND(J112&lt;&gt;"",COUNTIF(Catalogos!$F$6,J112)=0),"Moneda de factura inválida. ","")&amp;IF(AND(K112&lt;&gt;"",K112&lt;=0),"Monto de factura inválido. ","")&amp;IF(AND(L112&lt;&gt;"",L112&lt;=0),"Tipo de cambio inválido. ","")))</f>
        <v/>
      </c>
    </row>
    <row r="113" ht="22" customHeight="1">
      <c r="A113" s="17" t="str">
        <f t="shared" si="6"/>
        <v/>
      </c>
      <c r="B113" s="18"/>
      <c r="C113" s="18"/>
      <c r="D113" s="18"/>
      <c r="E113" s="19"/>
      <c r="F113" s="18"/>
      <c r="G113" s="18"/>
      <c r="H113" s="20"/>
      <c r="I113" s="21"/>
      <c r="J113" s="22"/>
      <c r="K113" s="21"/>
      <c r="L113" s="23"/>
      <c r="M113" s="19"/>
      <c r="N113" s="18"/>
      <c r="O113" s="24" t="str">
        <f t="shared" si="7"/>
        <v/>
      </c>
      <c r="P113" s="25" t="str">
        <f>IF(COUNTA(B113:N113)=0,"",TRIM(IF(B113="","Falta categoría. ","")&amp;IF(AND(B113&lt;&gt;"",COUNTIF(Catalogos!$B$6:$B$12,B113)=0),"Categoría inválida. ","")&amp;IF(C113="","Falta centro de costo. ","")&amp;IF(D113="","Falta partida. ","")&amp;IF(E113="","Falta fecha. ","")&amp;IF(F113="","Falta concepto. ","")&amp;IF(G113="","Falta proveedor. ","")&amp;IF(I113="","Falta monto. ","")&amp;IF(AND(I113&lt;&gt;"",I113&lt;=0),"Monto inválido. ","")&amp;IF(AND(COUNTA(J113:M113)&gt;0,OR(J113="",K113="",L113="",M113="")),"Completa los 4 campos de moneda extranjera. ","")&amp;IF(AND(J113&lt;&gt;"",COUNTIF(Catalogos!$F$6,J113)=0),"Moneda de factura inválida. ","")&amp;IF(AND(K113&lt;&gt;"",K113&lt;=0),"Monto de factura inválido. ","")&amp;IF(AND(L113&lt;&gt;"",L113&lt;=0),"Tipo de cambio inválido. ","")))</f>
        <v/>
      </c>
    </row>
    <row r="114" ht="22" customHeight="1">
      <c r="A114" s="17" t="str">
        <f t="shared" si="6"/>
        <v/>
      </c>
      <c r="B114" s="18"/>
      <c r="C114" s="18"/>
      <c r="D114" s="18"/>
      <c r="E114" s="19"/>
      <c r="F114" s="18"/>
      <c r="G114" s="18"/>
      <c r="H114" s="20"/>
      <c r="I114" s="21"/>
      <c r="J114" s="22"/>
      <c r="K114" s="21"/>
      <c r="L114" s="23"/>
      <c r="M114" s="19"/>
      <c r="N114" s="18"/>
      <c r="O114" s="24" t="str">
        <f t="shared" si="7"/>
        <v/>
      </c>
      <c r="P114" s="25" t="str">
        <f>IF(COUNTA(B114:N114)=0,"",TRIM(IF(B114="","Falta categoría. ","")&amp;IF(AND(B114&lt;&gt;"",COUNTIF(Catalogos!$B$6:$B$12,B114)=0),"Categoría inválida. ","")&amp;IF(C114="","Falta centro de costo. ","")&amp;IF(D114="","Falta partida. ","")&amp;IF(E114="","Falta fecha. ","")&amp;IF(F114="","Falta concepto. ","")&amp;IF(G114="","Falta proveedor. ","")&amp;IF(I114="","Falta monto. ","")&amp;IF(AND(I114&lt;&gt;"",I114&lt;=0),"Monto inválido. ","")&amp;IF(AND(COUNTA(J114:M114)&gt;0,OR(J114="",K114="",L114="",M114="")),"Completa los 4 campos de moneda extranjera. ","")&amp;IF(AND(J114&lt;&gt;"",COUNTIF(Catalogos!$F$6,J114)=0),"Moneda de factura inválida. ","")&amp;IF(AND(K114&lt;&gt;"",K114&lt;=0),"Monto de factura inválido. ","")&amp;IF(AND(L114&lt;&gt;"",L114&lt;=0),"Tipo de cambio inválido. ","")))</f>
        <v/>
      </c>
    </row>
    <row r="115" ht="22" customHeight="1">
      <c r="A115" s="17" t="str">
        <f t="shared" si="6"/>
        <v/>
      </c>
      <c r="B115" s="18"/>
      <c r="C115" s="18"/>
      <c r="D115" s="18"/>
      <c r="E115" s="19"/>
      <c r="F115" s="18"/>
      <c r="G115" s="18"/>
      <c r="H115" s="20"/>
      <c r="I115" s="21"/>
      <c r="J115" s="22"/>
      <c r="K115" s="21"/>
      <c r="L115" s="23"/>
      <c r="M115" s="19"/>
      <c r="N115" s="18"/>
      <c r="O115" s="24" t="str">
        <f t="shared" si="7"/>
        <v/>
      </c>
      <c r="P115" s="25" t="str">
        <f>IF(COUNTA(B115:N115)=0,"",TRIM(IF(B115="","Falta categoría. ","")&amp;IF(AND(B115&lt;&gt;"",COUNTIF(Catalogos!$B$6:$B$12,B115)=0),"Categoría inválida. ","")&amp;IF(C115="","Falta centro de costo. ","")&amp;IF(D115="","Falta partida. ","")&amp;IF(E115="","Falta fecha. ","")&amp;IF(F115="","Falta concepto. ","")&amp;IF(G115="","Falta proveedor. ","")&amp;IF(I115="","Falta monto. ","")&amp;IF(AND(I115&lt;&gt;"",I115&lt;=0),"Monto inválido. ","")&amp;IF(AND(COUNTA(J115:M115)&gt;0,OR(J115="",K115="",L115="",M115="")),"Completa los 4 campos de moneda extranjera. ","")&amp;IF(AND(J115&lt;&gt;"",COUNTIF(Catalogos!$F$6,J115)=0),"Moneda de factura inválida. ","")&amp;IF(AND(K115&lt;&gt;"",K115&lt;=0),"Monto de factura inválido. ","")&amp;IF(AND(L115&lt;&gt;"",L115&lt;=0),"Tipo de cambio inválido. ","")))</f>
        <v/>
      </c>
    </row>
    <row r="116" ht="22" customHeight="1">
      <c r="A116" s="17" t="str">
        <f t="shared" si="6"/>
        <v/>
      </c>
      <c r="B116" s="18"/>
      <c r="C116" s="18"/>
      <c r="D116" s="18"/>
      <c r="E116" s="19"/>
      <c r="F116" s="18"/>
      <c r="G116" s="18"/>
      <c r="H116" s="20"/>
      <c r="I116" s="21"/>
      <c r="J116" s="22"/>
      <c r="K116" s="21"/>
      <c r="L116" s="23"/>
      <c r="M116" s="19"/>
      <c r="N116" s="18"/>
      <c r="O116" s="24" t="str">
        <f t="shared" si="7"/>
        <v/>
      </c>
      <c r="P116" s="25" t="str">
        <f>IF(COUNTA(B116:N116)=0,"",TRIM(IF(B116="","Falta categoría. ","")&amp;IF(AND(B116&lt;&gt;"",COUNTIF(Catalogos!$B$6:$B$12,B116)=0),"Categoría inválida. ","")&amp;IF(C116="","Falta centro de costo. ","")&amp;IF(D116="","Falta partida. ","")&amp;IF(E116="","Falta fecha. ","")&amp;IF(F116="","Falta concepto. ","")&amp;IF(G116="","Falta proveedor. ","")&amp;IF(I116="","Falta monto. ","")&amp;IF(AND(I116&lt;&gt;"",I116&lt;=0),"Monto inválido. ","")&amp;IF(AND(COUNTA(J116:M116)&gt;0,OR(J116="",K116="",L116="",M116="")),"Completa los 4 campos de moneda extranjera. ","")&amp;IF(AND(J116&lt;&gt;"",COUNTIF(Catalogos!$F$6,J116)=0),"Moneda de factura inválida. ","")&amp;IF(AND(K116&lt;&gt;"",K116&lt;=0),"Monto de factura inválido. ","")&amp;IF(AND(L116&lt;&gt;"",L116&lt;=0),"Tipo de cambio inválido. ","")))</f>
        <v/>
      </c>
    </row>
    <row r="117" ht="22" customHeight="1">
      <c r="A117" s="17" t="str">
        <f t="shared" si="6"/>
        <v/>
      </c>
      <c r="B117" s="18"/>
      <c r="C117" s="18"/>
      <c r="D117" s="18"/>
      <c r="E117" s="19"/>
      <c r="F117" s="18"/>
      <c r="G117" s="18"/>
      <c r="H117" s="20"/>
      <c r="I117" s="21"/>
      <c r="J117" s="22"/>
      <c r="K117" s="21"/>
      <c r="L117" s="23"/>
      <c r="M117" s="19"/>
      <c r="N117" s="18"/>
      <c r="O117" s="24" t="str">
        <f t="shared" si="7"/>
        <v/>
      </c>
      <c r="P117" s="25" t="str">
        <f>IF(COUNTA(B117:N117)=0,"",TRIM(IF(B117="","Falta categoría. ","")&amp;IF(AND(B117&lt;&gt;"",COUNTIF(Catalogos!$B$6:$B$12,B117)=0),"Categoría inválida. ","")&amp;IF(C117="","Falta centro de costo. ","")&amp;IF(D117="","Falta partida. ","")&amp;IF(E117="","Falta fecha. ","")&amp;IF(F117="","Falta concepto. ","")&amp;IF(G117="","Falta proveedor. ","")&amp;IF(I117="","Falta monto. ","")&amp;IF(AND(I117&lt;&gt;"",I117&lt;=0),"Monto inválido. ","")&amp;IF(AND(COUNTA(J117:M117)&gt;0,OR(J117="",K117="",L117="",M117="")),"Completa los 4 campos de moneda extranjera. ","")&amp;IF(AND(J117&lt;&gt;"",COUNTIF(Catalogos!$F$6,J117)=0),"Moneda de factura inválida. ","")&amp;IF(AND(K117&lt;&gt;"",K117&lt;=0),"Monto de factura inválido. ","")&amp;IF(AND(L117&lt;&gt;"",L117&lt;=0),"Tipo de cambio inválido. ","")))</f>
        <v/>
      </c>
    </row>
    <row r="118" ht="22" customHeight="1">
      <c r="A118" s="17" t="str">
        <f t="shared" si="6"/>
        <v/>
      </c>
      <c r="B118" s="18"/>
      <c r="C118" s="18"/>
      <c r="D118" s="18"/>
      <c r="E118" s="19"/>
      <c r="F118" s="18"/>
      <c r="G118" s="18"/>
      <c r="H118" s="20"/>
      <c r="I118" s="21"/>
      <c r="J118" s="22"/>
      <c r="K118" s="21"/>
      <c r="L118" s="23"/>
      <c r="M118" s="19"/>
      <c r="N118" s="18"/>
      <c r="O118" s="24" t="str">
        <f t="shared" si="7"/>
        <v/>
      </c>
      <c r="P118" s="25" t="str">
        <f>IF(COUNTA(B118:N118)=0,"",TRIM(IF(B118="","Falta categoría. ","")&amp;IF(AND(B118&lt;&gt;"",COUNTIF(Catalogos!$B$6:$B$12,B118)=0),"Categoría inválida. ","")&amp;IF(C118="","Falta centro de costo. ","")&amp;IF(D118="","Falta partida. ","")&amp;IF(E118="","Falta fecha. ","")&amp;IF(F118="","Falta concepto. ","")&amp;IF(G118="","Falta proveedor. ","")&amp;IF(I118="","Falta monto. ","")&amp;IF(AND(I118&lt;&gt;"",I118&lt;=0),"Monto inválido. ","")&amp;IF(AND(COUNTA(J118:M118)&gt;0,OR(J118="",K118="",L118="",M118="")),"Completa los 4 campos de moneda extranjera. ","")&amp;IF(AND(J118&lt;&gt;"",COUNTIF(Catalogos!$F$6,J118)=0),"Moneda de factura inválida. ","")&amp;IF(AND(K118&lt;&gt;"",K118&lt;=0),"Monto de factura inválido. ","")&amp;IF(AND(L118&lt;&gt;"",L118&lt;=0),"Tipo de cambio inválido. ","")))</f>
        <v/>
      </c>
    </row>
    <row r="119" ht="22" customHeight="1">
      <c r="A119" s="17" t="str">
        <f t="shared" si="6"/>
        <v/>
      </c>
      <c r="B119" s="18"/>
      <c r="C119" s="18"/>
      <c r="D119" s="18"/>
      <c r="E119" s="19"/>
      <c r="F119" s="18"/>
      <c r="G119" s="18"/>
      <c r="H119" s="20"/>
      <c r="I119" s="21"/>
      <c r="J119" s="22"/>
      <c r="K119" s="21"/>
      <c r="L119" s="23"/>
      <c r="M119" s="19"/>
      <c r="N119" s="18"/>
      <c r="O119" s="24" t="str">
        <f t="shared" si="7"/>
        <v/>
      </c>
      <c r="P119" s="25" t="str">
        <f>IF(COUNTA(B119:N119)=0,"",TRIM(IF(B119="","Falta categoría. ","")&amp;IF(AND(B119&lt;&gt;"",COUNTIF(Catalogos!$B$6:$B$12,B119)=0),"Categoría inválida. ","")&amp;IF(C119="","Falta centro de costo. ","")&amp;IF(D119="","Falta partida. ","")&amp;IF(E119="","Falta fecha. ","")&amp;IF(F119="","Falta concepto. ","")&amp;IF(G119="","Falta proveedor. ","")&amp;IF(I119="","Falta monto. ","")&amp;IF(AND(I119&lt;&gt;"",I119&lt;=0),"Monto inválido. ","")&amp;IF(AND(COUNTA(J119:M119)&gt;0,OR(J119="",K119="",L119="",M119="")),"Completa los 4 campos de moneda extranjera. ","")&amp;IF(AND(J119&lt;&gt;"",COUNTIF(Catalogos!$F$6,J119)=0),"Moneda de factura inválida. ","")&amp;IF(AND(K119&lt;&gt;"",K119&lt;=0),"Monto de factura inválido. ","")&amp;IF(AND(L119&lt;&gt;"",L119&lt;=0),"Tipo de cambio inválido. ","")))</f>
        <v/>
      </c>
    </row>
    <row r="120" ht="22" customHeight="1">
      <c r="A120" s="17" t="str">
        <f t="shared" si="6"/>
        <v/>
      </c>
      <c r="B120" s="18"/>
      <c r="C120" s="18"/>
      <c r="D120" s="18"/>
      <c r="E120" s="19"/>
      <c r="F120" s="18"/>
      <c r="G120" s="18"/>
      <c r="H120" s="20"/>
      <c r="I120" s="21"/>
      <c r="J120" s="22"/>
      <c r="K120" s="21"/>
      <c r="L120" s="23"/>
      <c r="M120" s="19"/>
      <c r="N120" s="18"/>
      <c r="O120" s="24" t="str">
        <f t="shared" si="7"/>
        <v/>
      </c>
      <c r="P120" s="25" t="str">
        <f>IF(COUNTA(B120:N120)=0,"",TRIM(IF(B120="","Falta categoría. ","")&amp;IF(AND(B120&lt;&gt;"",COUNTIF(Catalogos!$B$6:$B$12,B120)=0),"Categoría inválida. ","")&amp;IF(C120="","Falta centro de costo. ","")&amp;IF(D120="","Falta partida. ","")&amp;IF(E120="","Falta fecha. ","")&amp;IF(F120="","Falta concepto. ","")&amp;IF(G120="","Falta proveedor. ","")&amp;IF(I120="","Falta monto. ","")&amp;IF(AND(I120&lt;&gt;"",I120&lt;=0),"Monto inválido. ","")&amp;IF(AND(COUNTA(J120:M120)&gt;0,OR(J120="",K120="",L120="",M120="")),"Completa los 4 campos de moneda extranjera. ","")&amp;IF(AND(J120&lt;&gt;"",COUNTIF(Catalogos!$F$6,J120)=0),"Moneda de factura inválida. ","")&amp;IF(AND(K120&lt;&gt;"",K120&lt;=0),"Monto de factura inválido. ","")&amp;IF(AND(L120&lt;&gt;"",L120&lt;=0),"Tipo de cambio inválido. ","")))</f>
        <v/>
      </c>
    </row>
    <row r="121" ht="22" customHeight="1">
      <c r="A121" s="17" t="str">
        <f t="shared" si="6"/>
        <v/>
      </c>
      <c r="B121" s="18"/>
      <c r="C121" s="18"/>
      <c r="D121" s="18"/>
      <c r="E121" s="19"/>
      <c r="F121" s="18"/>
      <c r="G121" s="18"/>
      <c r="H121" s="20"/>
      <c r="I121" s="21"/>
      <c r="J121" s="22"/>
      <c r="K121" s="21"/>
      <c r="L121" s="23"/>
      <c r="M121" s="19"/>
      <c r="N121" s="18"/>
      <c r="O121" s="24" t="str">
        <f t="shared" si="7"/>
        <v/>
      </c>
      <c r="P121" s="25" t="str">
        <f>IF(COUNTA(B121:N121)=0,"",TRIM(IF(B121="","Falta categoría. ","")&amp;IF(AND(B121&lt;&gt;"",COUNTIF(Catalogos!$B$6:$B$12,B121)=0),"Categoría inválida. ","")&amp;IF(C121="","Falta centro de costo. ","")&amp;IF(D121="","Falta partida. ","")&amp;IF(E121="","Falta fecha. ","")&amp;IF(F121="","Falta concepto. ","")&amp;IF(G121="","Falta proveedor. ","")&amp;IF(I121="","Falta monto. ","")&amp;IF(AND(I121&lt;&gt;"",I121&lt;=0),"Monto inválido. ","")&amp;IF(AND(COUNTA(J121:M121)&gt;0,OR(J121="",K121="",L121="",M121="")),"Completa los 4 campos de moneda extranjera. ","")&amp;IF(AND(J121&lt;&gt;"",COUNTIF(Catalogos!$F$6,J121)=0),"Moneda de factura inválida. ","")&amp;IF(AND(K121&lt;&gt;"",K121&lt;=0),"Monto de factura inválido. ","")&amp;IF(AND(L121&lt;&gt;"",L121&lt;=0),"Tipo de cambio inválido. ","")))</f>
        <v/>
      </c>
    </row>
    <row r="122" ht="22" customHeight="1">
      <c r="A122" s="17" t="str">
        <f t="shared" si="6"/>
        <v/>
      </c>
      <c r="B122" s="18"/>
      <c r="C122" s="18"/>
      <c r="D122" s="18"/>
      <c r="E122" s="19"/>
      <c r="F122" s="18"/>
      <c r="G122" s="18"/>
      <c r="H122" s="20"/>
      <c r="I122" s="21"/>
      <c r="J122" s="22"/>
      <c r="K122" s="21"/>
      <c r="L122" s="23"/>
      <c r="M122" s="19"/>
      <c r="N122" s="18"/>
      <c r="O122" s="24" t="str">
        <f t="shared" si="7"/>
        <v/>
      </c>
      <c r="P122" s="25" t="str">
        <f>IF(COUNTA(B122:N122)=0,"",TRIM(IF(B122="","Falta categoría. ","")&amp;IF(AND(B122&lt;&gt;"",COUNTIF(Catalogos!$B$6:$B$12,B122)=0),"Categoría inválida. ","")&amp;IF(C122="","Falta centro de costo. ","")&amp;IF(D122="","Falta partida. ","")&amp;IF(E122="","Falta fecha. ","")&amp;IF(F122="","Falta concepto. ","")&amp;IF(G122="","Falta proveedor. ","")&amp;IF(I122="","Falta monto. ","")&amp;IF(AND(I122&lt;&gt;"",I122&lt;=0),"Monto inválido. ","")&amp;IF(AND(COUNTA(J122:M122)&gt;0,OR(J122="",K122="",L122="",M122="")),"Completa los 4 campos de moneda extranjera. ","")&amp;IF(AND(J122&lt;&gt;"",COUNTIF(Catalogos!$F$6,J122)=0),"Moneda de factura inválida. ","")&amp;IF(AND(K122&lt;&gt;"",K122&lt;=0),"Monto de factura inválido. ","")&amp;IF(AND(L122&lt;&gt;"",L122&lt;=0),"Tipo de cambio inválido. ","")))</f>
        <v/>
      </c>
    </row>
    <row r="123" ht="22" customHeight="1">
      <c r="A123" s="17" t="str">
        <f t="shared" si="6"/>
        <v/>
      </c>
      <c r="B123" s="18"/>
      <c r="C123" s="18"/>
      <c r="D123" s="18"/>
      <c r="E123" s="19"/>
      <c r="F123" s="18"/>
      <c r="G123" s="18"/>
      <c r="H123" s="20"/>
      <c r="I123" s="21"/>
      <c r="J123" s="22"/>
      <c r="K123" s="21"/>
      <c r="L123" s="23"/>
      <c r="M123" s="19"/>
      <c r="N123" s="18"/>
      <c r="O123" s="24" t="str">
        <f t="shared" si="7"/>
        <v/>
      </c>
      <c r="P123" s="25" t="str">
        <f>IF(COUNTA(B123:N123)=0,"",TRIM(IF(B123="","Falta categoría. ","")&amp;IF(AND(B123&lt;&gt;"",COUNTIF(Catalogos!$B$6:$B$12,B123)=0),"Categoría inválida. ","")&amp;IF(C123="","Falta centro de costo. ","")&amp;IF(D123="","Falta partida. ","")&amp;IF(E123="","Falta fecha. ","")&amp;IF(F123="","Falta concepto. ","")&amp;IF(G123="","Falta proveedor. ","")&amp;IF(I123="","Falta monto. ","")&amp;IF(AND(I123&lt;&gt;"",I123&lt;=0),"Monto inválido. ","")&amp;IF(AND(COUNTA(J123:M123)&gt;0,OR(J123="",K123="",L123="",M123="")),"Completa los 4 campos de moneda extranjera. ","")&amp;IF(AND(J123&lt;&gt;"",COUNTIF(Catalogos!$F$6,J123)=0),"Moneda de factura inválida. ","")&amp;IF(AND(K123&lt;&gt;"",K123&lt;=0),"Monto de factura inválido. ","")&amp;IF(AND(L123&lt;&gt;"",L123&lt;=0),"Tipo de cambio inválido. ","")))</f>
        <v/>
      </c>
    </row>
    <row r="124" ht="22" customHeight="1">
      <c r="A124" s="17" t="str">
        <f t="shared" si="6"/>
        <v/>
      </c>
      <c r="B124" s="18"/>
      <c r="C124" s="18"/>
      <c r="D124" s="18"/>
      <c r="E124" s="19"/>
      <c r="F124" s="18"/>
      <c r="G124" s="18"/>
      <c r="H124" s="20"/>
      <c r="I124" s="21"/>
      <c r="J124" s="22"/>
      <c r="K124" s="21"/>
      <c r="L124" s="23"/>
      <c r="M124" s="19"/>
      <c r="N124" s="18"/>
      <c r="O124" s="24" t="str">
        <f t="shared" si="7"/>
        <v/>
      </c>
      <c r="P124" s="25" t="str">
        <f>IF(COUNTA(B124:N124)=0,"",TRIM(IF(B124="","Falta categoría. ","")&amp;IF(AND(B124&lt;&gt;"",COUNTIF(Catalogos!$B$6:$B$12,B124)=0),"Categoría inválida. ","")&amp;IF(C124="","Falta centro de costo. ","")&amp;IF(D124="","Falta partida. ","")&amp;IF(E124="","Falta fecha. ","")&amp;IF(F124="","Falta concepto. ","")&amp;IF(G124="","Falta proveedor. ","")&amp;IF(I124="","Falta monto. ","")&amp;IF(AND(I124&lt;&gt;"",I124&lt;=0),"Monto inválido. ","")&amp;IF(AND(COUNTA(J124:M124)&gt;0,OR(J124="",K124="",L124="",M124="")),"Completa los 4 campos de moneda extranjera. ","")&amp;IF(AND(J124&lt;&gt;"",COUNTIF(Catalogos!$F$6,J124)=0),"Moneda de factura inválida. ","")&amp;IF(AND(K124&lt;&gt;"",K124&lt;=0),"Monto de factura inválido. ","")&amp;IF(AND(L124&lt;&gt;"",L124&lt;=0),"Tipo de cambio inválido. ","")))</f>
        <v/>
      </c>
    </row>
    <row r="125" ht="22" customHeight="1">
      <c r="A125" s="17" t="str">
        <f t="shared" si="6"/>
        <v/>
      </c>
      <c r="B125" s="18"/>
      <c r="C125" s="18"/>
      <c r="D125" s="18"/>
      <c r="E125" s="19"/>
      <c r="F125" s="18"/>
      <c r="G125" s="18"/>
      <c r="H125" s="20"/>
      <c r="I125" s="21"/>
      <c r="J125" s="22"/>
      <c r="K125" s="21"/>
      <c r="L125" s="23"/>
      <c r="M125" s="19"/>
      <c r="N125" s="18"/>
      <c r="O125" s="24" t="str">
        <f t="shared" si="7"/>
        <v/>
      </c>
      <c r="P125" s="25" t="str">
        <f>IF(COUNTA(B125:N125)=0,"",TRIM(IF(B125="","Falta categoría. ","")&amp;IF(AND(B125&lt;&gt;"",COUNTIF(Catalogos!$B$6:$B$12,B125)=0),"Categoría inválida. ","")&amp;IF(C125="","Falta centro de costo. ","")&amp;IF(D125="","Falta partida. ","")&amp;IF(E125="","Falta fecha. ","")&amp;IF(F125="","Falta concepto. ","")&amp;IF(G125="","Falta proveedor. ","")&amp;IF(I125="","Falta monto. ","")&amp;IF(AND(I125&lt;&gt;"",I125&lt;=0),"Monto inválido. ","")&amp;IF(AND(COUNTA(J125:M125)&gt;0,OR(J125="",K125="",L125="",M125="")),"Completa los 4 campos de moneda extranjera. ","")&amp;IF(AND(J125&lt;&gt;"",COUNTIF(Catalogos!$F$6,J125)=0),"Moneda de factura inválida. ","")&amp;IF(AND(K125&lt;&gt;"",K125&lt;=0),"Monto de factura inválido. ","")&amp;IF(AND(L125&lt;&gt;"",L125&lt;=0),"Tipo de cambio inválido. ","")))</f>
        <v/>
      </c>
    </row>
    <row r="126" ht="22" customHeight="1">
      <c r="A126" s="17" t="str">
        <f t="shared" si="6"/>
        <v/>
      </c>
      <c r="B126" s="18"/>
      <c r="C126" s="18"/>
      <c r="D126" s="18"/>
      <c r="E126" s="19"/>
      <c r="F126" s="18"/>
      <c r="G126" s="18"/>
      <c r="H126" s="20"/>
      <c r="I126" s="21"/>
      <c r="J126" s="22"/>
      <c r="K126" s="21"/>
      <c r="L126" s="23"/>
      <c r="M126" s="19"/>
      <c r="N126" s="18"/>
      <c r="O126" s="24" t="str">
        <f t="shared" si="7"/>
        <v/>
      </c>
      <c r="P126" s="25" t="str">
        <f>IF(COUNTA(B126:N126)=0,"",TRIM(IF(B126="","Falta categoría. ","")&amp;IF(AND(B126&lt;&gt;"",COUNTIF(Catalogos!$B$6:$B$12,B126)=0),"Categoría inválida. ","")&amp;IF(C126="","Falta centro de costo. ","")&amp;IF(D126="","Falta partida. ","")&amp;IF(E126="","Falta fecha. ","")&amp;IF(F126="","Falta concepto. ","")&amp;IF(G126="","Falta proveedor. ","")&amp;IF(I126="","Falta monto. ","")&amp;IF(AND(I126&lt;&gt;"",I126&lt;=0),"Monto inválido. ","")&amp;IF(AND(COUNTA(J126:M126)&gt;0,OR(J126="",K126="",L126="",M126="")),"Completa los 4 campos de moneda extranjera. ","")&amp;IF(AND(J126&lt;&gt;"",COUNTIF(Catalogos!$F$6,J126)=0),"Moneda de factura inválida. ","")&amp;IF(AND(K126&lt;&gt;"",K126&lt;=0),"Monto de factura inválido. ","")&amp;IF(AND(L126&lt;&gt;"",L126&lt;=0),"Tipo de cambio inválido. ","")))</f>
        <v/>
      </c>
    </row>
    <row r="127" ht="22" customHeight="1">
      <c r="A127" s="17" t="str">
        <f t="shared" si="6"/>
        <v/>
      </c>
      <c r="B127" s="18"/>
      <c r="C127" s="18"/>
      <c r="D127" s="18"/>
      <c r="E127" s="19"/>
      <c r="F127" s="18"/>
      <c r="G127" s="18"/>
      <c r="H127" s="20"/>
      <c r="I127" s="21"/>
      <c r="J127" s="22"/>
      <c r="K127" s="21"/>
      <c r="L127" s="23"/>
      <c r="M127" s="19"/>
      <c r="N127" s="18"/>
      <c r="O127" s="24" t="str">
        <f t="shared" si="7"/>
        <v/>
      </c>
      <c r="P127" s="25" t="str">
        <f>IF(COUNTA(B127:N127)=0,"",TRIM(IF(B127="","Falta categoría. ","")&amp;IF(AND(B127&lt;&gt;"",COUNTIF(Catalogos!$B$6:$B$12,B127)=0),"Categoría inválida. ","")&amp;IF(C127="","Falta centro de costo. ","")&amp;IF(D127="","Falta partida. ","")&amp;IF(E127="","Falta fecha. ","")&amp;IF(F127="","Falta concepto. ","")&amp;IF(G127="","Falta proveedor. ","")&amp;IF(I127="","Falta monto. ","")&amp;IF(AND(I127&lt;&gt;"",I127&lt;=0),"Monto inválido. ","")&amp;IF(AND(COUNTA(J127:M127)&gt;0,OR(J127="",K127="",L127="",M127="")),"Completa los 4 campos de moneda extranjera. ","")&amp;IF(AND(J127&lt;&gt;"",COUNTIF(Catalogos!$F$6,J127)=0),"Moneda de factura inválida. ","")&amp;IF(AND(K127&lt;&gt;"",K127&lt;=0),"Monto de factura inválido. ","")&amp;IF(AND(L127&lt;&gt;"",L127&lt;=0),"Tipo de cambio inválido. ","")))</f>
        <v/>
      </c>
    </row>
    <row r="128" ht="22" customHeight="1">
      <c r="A128" s="17" t="str">
        <f t="shared" si="6"/>
        <v/>
      </c>
      <c r="B128" s="18"/>
      <c r="C128" s="18"/>
      <c r="D128" s="18"/>
      <c r="E128" s="19"/>
      <c r="F128" s="18"/>
      <c r="G128" s="18"/>
      <c r="H128" s="20"/>
      <c r="I128" s="21"/>
      <c r="J128" s="22"/>
      <c r="K128" s="21"/>
      <c r="L128" s="23"/>
      <c r="M128" s="19"/>
      <c r="N128" s="18"/>
      <c r="O128" s="24" t="str">
        <f t="shared" si="7"/>
        <v/>
      </c>
      <c r="P128" s="25" t="str">
        <f>IF(COUNTA(B128:N128)=0,"",TRIM(IF(B128="","Falta categoría. ","")&amp;IF(AND(B128&lt;&gt;"",COUNTIF(Catalogos!$B$6:$B$12,B128)=0),"Categoría inválida. ","")&amp;IF(C128="","Falta centro de costo. ","")&amp;IF(D128="","Falta partida. ","")&amp;IF(E128="","Falta fecha. ","")&amp;IF(F128="","Falta concepto. ","")&amp;IF(G128="","Falta proveedor. ","")&amp;IF(I128="","Falta monto. ","")&amp;IF(AND(I128&lt;&gt;"",I128&lt;=0),"Monto inválido. ","")&amp;IF(AND(COUNTA(J128:M128)&gt;0,OR(J128="",K128="",L128="",M128="")),"Completa los 4 campos de moneda extranjera. ","")&amp;IF(AND(J128&lt;&gt;"",COUNTIF(Catalogos!$F$6,J128)=0),"Moneda de factura inválida. ","")&amp;IF(AND(K128&lt;&gt;"",K128&lt;=0),"Monto de factura inválido. ","")&amp;IF(AND(L128&lt;&gt;"",L128&lt;=0),"Tipo de cambio inválido. ","")))</f>
        <v/>
      </c>
    </row>
    <row r="129" ht="22" customHeight="1">
      <c r="A129" s="17" t="str">
        <f t="shared" si="6"/>
        <v/>
      </c>
      <c r="B129" s="18"/>
      <c r="C129" s="18"/>
      <c r="D129" s="18"/>
      <c r="E129" s="19"/>
      <c r="F129" s="18"/>
      <c r="G129" s="18"/>
      <c r="H129" s="20"/>
      <c r="I129" s="21"/>
      <c r="J129" s="22"/>
      <c r="K129" s="21"/>
      <c r="L129" s="23"/>
      <c r="M129" s="19"/>
      <c r="N129" s="18"/>
      <c r="O129" s="24" t="str">
        <f t="shared" si="7"/>
        <v/>
      </c>
      <c r="P129" s="25" t="str">
        <f>IF(COUNTA(B129:N129)=0,"",TRIM(IF(B129="","Falta categoría. ","")&amp;IF(AND(B129&lt;&gt;"",COUNTIF(Catalogos!$B$6:$B$12,B129)=0),"Categoría inválida. ","")&amp;IF(C129="","Falta centro de costo. ","")&amp;IF(D129="","Falta partida. ","")&amp;IF(E129="","Falta fecha. ","")&amp;IF(F129="","Falta concepto. ","")&amp;IF(G129="","Falta proveedor. ","")&amp;IF(I129="","Falta monto. ","")&amp;IF(AND(I129&lt;&gt;"",I129&lt;=0),"Monto inválido. ","")&amp;IF(AND(COUNTA(J129:M129)&gt;0,OR(J129="",K129="",L129="",M129="")),"Completa los 4 campos de moneda extranjera. ","")&amp;IF(AND(J129&lt;&gt;"",COUNTIF(Catalogos!$F$6,J129)=0),"Moneda de factura inválida. ","")&amp;IF(AND(K129&lt;&gt;"",K129&lt;=0),"Monto de factura inválido. ","")&amp;IF(AND(L129&lt;&gt;"",L129&lt;=0),"Tipo de cambio inválido. ","")))</f>
        <v/>
      </c>
    </row>
    <row r="130" ht="22" customHeight="1">
      <c r="A130" s="17" t="str">
        <f t="shared" si="6"/>
        <v/>
      </c>
      <c r="B130" s="18"/>
      <c r="C130" s="18"/>
      <c r="D130" s="18"/>
      <c r="E130" s="19"/>
      <c r="F130" s="18"/>
      <c r="G130" s="18"/>
      <c r="H130" s="20"/>
      <c r="I130" s="21"/>
      <c r="J130" s="22"/>
      <c r="K130" s="21"/>
      <c r="L130" s="23"/>
      <c r="M130" s="19"/>
      <c r="N130" s="18"/>
      <c r="O130" s="24" t="str">
        <f t="shared" si="7"/>
        <v/>
      </c>
      <c r="P130" s="25" t="str">
        <f>IF(COUNTA(B130:N130)=0,"",TRIM(IF(B130="","Falta categoría. ","")&amp;IF(AND(B130&lt;&gt;"",COUNTIF(Catalogos!$B$6:$B$12,B130)=0),"Categoría inválida. ","")&amp;IF(C130="","Falta centro de costo. ","")&amp;IF(D130="","Falta partida. ","")&amp;IF(E130="","Falta fecha. ","")&amp;IF(F130="","Falta concepto. ","")&amp;IF(G130="","Falta proveedor. ","")&amp;IF(I130="","Falta monto. ","")&amp;IF(AND(I130&lt;&gt;"",I130&lt;=0),"Monto inválido. ","")&amp;IF(AND(COUNTA(J130:M130)&gt;0,OR(J130="",K130="",L130="",M130="")),"Completa los 4 campos de moneda extranjera. ","")&amp;IF(AND(J130&lt;&gt;"",COUNTIF(Catalogos!$F$6,J130)=0),"Moneda de factura inválida. ","")&amp;IF(AND(K130&lt;&gt;"",K130&lt;=0),"Monto de factura inválido. ","")&amp;IF(AND(L130&lt;&gt;"",L130&lt;=0),"Tipo de cambio inválido. ","")))</f>
        <v/>
      </c>
    </row>
    <row r="131" ht="22" customHeight="1">
      <c r="A131" s="17" t="str">
        <f t="shared" si="6"/>
        <v/>
      </c>
      <c r="B131" s="18"/>
      <c r="C131" s="18"/>
      <c r="D131" s="18"/>
      <c r="E131" s="19"/>
      <c r="F131" s="18"/>
      <c r="G131" s="18"/>
      <c r="H131" s="20"/>
      <c r="I131" s="21"/>
      <c r="J131" s="22"/>
      <c r="K131" s="21"/>
      <c r="L131" s="23"/>
      <c r="M131" s="19"/>
      <c r="N131" s="18"/>
      <c r="O131" s="24" t="str">
        <f t="shared" si="7"/>
        <v/>
      </c>
      <c r="P131" s="25" t="str">
        <f>IF(COUNTA(B131:N131)=0,"",TRIM(IF(B131="","Falta categoría. ","")&amp;IF(AND(B131&lt;&gt;"",COUNTIF(Catalogos!$B$6:$B$12,B131)=0),"Categoría inválida. ","")&amp;IF(C131="","Falta centro de costo. ","")&amp;IF(D131="","Falta partida. ","")&amp;IF(E131="","Falta fecha. ","")&amp;IF(F131="","Falta concepto. ","")&amp;IF(G131="","Falta proveedor. ","")&amp;IF(I131="","Falta monto. ","")&amp;IF(AND(I131&lt;&gt;"",I131&lt;=0),"Monto inválido. ","")&amp;IF(AND(COUNTA(J131:M131)&gt;0,OR(J131="",K131="",L131="",M131="")),"Completa los 4 campos de moneda extranjera. ","")&amp;IF(AND(J131&lt;&gt;"",COUNTIF(Catalogos!$F$6,J131)=0),"Moneda de factura inválida. ","")&amp;IF(AND(K131&lt;&gt;"",K131&lt;=0),"Monto de factura inválido. ","")&amp;IF(AND(L131&lt;&gt;"",L131&lt;=0),"Tipo de cambio inválido. ","")))</f>
        <v/>
      </c>
    </row>
    <row r="132" ht="22" customHeight="1">
      <c r="A132" s="17" t="str">
        <f t="shared" si="6"/>
        <v/>
      </c>
      <c r="B132" s="18"/>
      <c r="C132" s="18"/>
      <c r="D132" s="18"/>
      <c r="E132" s="19"/>
      <c r="F132" s="18"/>
      <c r="G132" s="18"/>
      <c r="H132" s="20"/>
      <c r="I132" s="21"/>
      <c r="J132" s="22"/>
      <c r="K132" s="21"/>
      <c r="L132" s="23"/>
      <c r="M132" s="19"/>
      <c r="N132" s="18"/>
      <c r="O132" s="24" t="str">
        <f t="shared" si="7"/>
        <v/>
      </c>
      <c r="P132" s="25" t="str">
        <f>IF(COUNTA(B132:N132)=0,"",TRIM(IF(B132="","Falta categoría. ","")&amp;IF(AND(B132&lt;&gt;"",COUNTIF(Catalogos!$B$6:$B$12,B132)=0),"Categoría inválida. ","")&amp;IF(C132="","Falta centro de costo. ","")&amp;IF(D132="","Falta partida. ","")&amp;IF(E132="","Falta fecha. ","")&amp;IF(F132="","Falta concepto. ","")&amp;IF(G132="","Falta proveedor. ","")&amp;IF(I132="","Falta monto. ","")&amp;IF(AND(I132&lt;&gt;"",I132&lt;=0),"Monto inválido. ","")&amp;IF(AND(COUNTA(J132:M132)&gt;0,OR(J132="",K132="",L132="",M132="")),"Completa los 4 campos de moneda extranjera. ","")&amp;IF(AND(J132&lt;&gt;"",COUNTIF(Catalogos!$F$6,J132)=0),"Moneda de factura inválida. ","")&amp;IF(AND(K132&lt;&gt;"",K132&lt;=0),"Monto de factura inválido. ","")&amp;IF(AND(L132&lt;&gt;"",L132&lt;=0),"Tipo de cambio inválido. ","")))</f>
        <v/>
      </c>
    </row>
    <row r="133" ht="22" customHeight="1">
      <c r="A133" s="17" t="str">
        <f t="shared" si="6"/>
        <v/>
      </c>
      <c r="B133" s="18"/>
      <c r="C133" s="18"/>
      <c r="D133" s="18"/>
      <c r="E133" s="19"/>
      <c r="F133" s="18"/>
      <c r="G133" s="18"/>
      <c r="H133" s="20"/>
      <c r="I133" s="21"/>
      <c r="J133" s="22"/>
      <c r="K133" s="21"/>
      <c r="L133" s="23"/>
      <c r="M133" s="19"/>
      <c r="N133" s="18"/>
      <c r="O133" s="24" t="str">
        <f t="shared" si="7"/>
        <v/>
      </c>
      <c r="P133" s="25" t="str">
        <f>IF(COUNTA(B133:N133)=0,"",TRIM(IF(B133="","Falta categoría. ","")&amp;IF(AND(B133&lt;&gt;"",COUNTIF(Catalogos!$B$6:$B$12,B133)=0),"Categoría inválida. ","")&amp;IF(C133="","Falta centro de costo. ","")&amp;IF(D133="","Falta partida. ","")&amp;IF(E133="","Falta fecha. ","")&amp;IF(F133="","Falta concepto. ","")&amp;IF(G133="","Falta proveedor. ","")&amp;IF(I133="","Falta monto. ","")&amp;IF(AND(I133&lt;&gt;"",I133&lt;=0),"Monto inválido. ","")&amp;IF(AND(COUNTA(J133:M133)&gt;0,OR(J133="",K133="",L133="",M133="")),"Completa los 4 campos de moneda extranjera. ","")&amp;IF(AND(J133&lt;&gt;"",COUNTIF(Catalogos!$F$6,J133)=0),"Moneda de factura inválida. ","")&amp;IF(AND(K133&lt;&gt;"",K133&lt;=0),"Monto de factura inválido. ","")&amp;IF(AND(L133&lt;&gt;"",L133&lt;=0),"Tipo de cambio inválido. ","")))</f>
        <v/>
      </c>
    </row>
    <row r="134" ht="22" customHeight="1">
      <c r="A134" s="17" t="str">
        <f t="shared" si="6"/>
        <v/>
      </c>
      <c r="B134" s="18"/>
      <c r="C134" s="18"/>
      <c r="D134" s="18"/>
      <c r="E134" s="19"/>
      <c r="F134" s="18"/>
      <c r="G134" s="18"/>
      <c r="H134" s="20"/>
      <c r="I134" s="21"/>
      <c r="J134" s="22"/>
      <c r="K134" s="21"/>
      <c r="L134" s="23"/>
      <c r="M134" s="19"/>
      <c r="N134" s="18"/>
      <c r="O134" s="24" t="str">
        <f t="shared" si="7"/>
        <v/>
      </c>
      <c r="P134" s="25" t="str">
        <f>IF(COUNTA(B134:N134)=0,"",TRIM(IF(B134="","Falta categoría. ","")&amp;IF(AND(B134&lt;&gt;"",COUNTIF(Catalogos!$B$6:$B$12,B134)=0),"Categoría inválida. ","")&amp;IF(C134="","Falta centro de costo. ","")&amp;IF(D134="","Falta partida. ","")&amp;IF(E134="","Falta fecha. ","")&amp;IF(F134="","Falta concepto. ","")&amp;IF(G134="","Falta proveedor. ","")&amp;IF(I134="","Falta monto. ","")&amp;IF(AND(I134&lt;&gt;"",I134&lt;=0),"Monto inválido. ","")&amp;IF(AND(COUNTA(J134:M134)&gt;0,OR(J134="",K134="",L134="",M134="")),"Completa los 4 campos de moneda extranjera. ","")&amp;IF(AND(J134&lt;&gt;"",COUNTIF(Catalogos!$F$6,J134)=0),"Moneda de factura inválida. ","")&amp;IF(AND(K134&lt;&gt;"",K134&lt;=0),"Monto de factura inválido. ","")&amp;IF(AND(L134&lt;&gt;"",L134&lt;=0),"Tipo de cambio inválido. ","")))</f>
        <v/>
      </c>
    </row>
    <row r="135" ht="22" customHeight="1">
      <c r="A135" s="17" t="str">
        <f t="shared" si="6"/>
        <v/>
      </c>
      <c r="B135" s="18"/>
      <c r="C135" s="18"/>
      <c r="D135" s="18"/>
      <c r="E135" s="19"/>
      <c r="F135" s="18"/>
      <c r="G135" s="18"/>
      <c r="H135" s="20"/>
      <c r="I135" s="21"/>
      <c r="J135" s="22"/>
      <c r="K135" s="21"/>
      <c r="L135" s="23"/>
      <c r="M135" s="19"/>
      <c r="N135" s="18"/>
      <c r="O135" s="24" t="str">
        <f t="shared" si="7"/>
        <v/>
      </c>
      <c r="P135" s="25" t="str">
        <f>IF(COUNTA(B135:N135)=0,"",TRIM(IF(B135="","Falta categoría. ","")&amp;IF(AND(B135&lt;&gt;"",COUNTIF(Catalogos!$B$6:$B$12,B135)=0),"Categoría inválida. ","")&amp;IF(C135="","Falta centro de costo. ","")&amp;IF(D135="","Falta partida. ","")&amp;IF(E135="","Falta fecha. ","")&amp;IF(F135="","Falta concepto. ","")&amp;IF(G135="","Falta proveedor. ","")&amp;IF(I135="","Falta monto. ","")&amp;IF(AND(I135&lt;&gt;"",I135&lt;=0),"Monto inválido. ","")&amp;IF(AND(COUNTA(J135:M135)&gt;0,OR(J135="",K135="",L135="",M135="")),"Completa los 4 campos de moneda extranjera. ","")&amp;IF(AND(J135&lt;&gt;"",COUNTIF(Catalogos!$F$6,J135)=0),"Moneda de factura inválida. ","")&amp;IF(AND(K135&lt;&gt;"",K135&lt;=0),"Monto de factura inválido. ","")&amp;IF(AND(L135&lt;&gt;"",L135&lt;=0),"Tipo de cambio inválido. ","")))</f>
        <v/>
      </c>
    </row>
    <row r="136" ht="22" customHeight="1">
      <c r="A136" s="17" t="str">
        <f t="shared" si="6"/>
        <v/>
      </c>
      <c r="B136" s="18"/>
      <c r="C136" s="18"/>
      <c r="D136" s="18"/>
      <c r="E136" s="19"/>
      <c r="F136" s="18"/>
      <c r="G136" s="18"/>
      <c r="H136" s="20"/>
      <c r="I136" s="21"/>
      <c r="J136" s="22"/>
      <c r="K136" s="21"/>
      <c r="L136" s="23"/>
      <c r="M136" s="19"/>
      <c r="N136" s="18"/>
      <c r="O136" s="24" t="str">
        <f t="shared" si="7"/>
        <v/>
      </c>
      <c r="P136" s="25" t="str">
        <f>IF(COUNTA(B136:N136)=0,"",TRIM(IF(B136="","Falta categoría. ","")&amp;IF(AND(B136&lt;&gt;"",COUNTIF(Catalogos!$B$6:$B$12,B136)=0),"Categoría inválida. ","")&amp;IF(C136="","Falta centro de costo. ","")&amp;IF(D136="","Falta partida. ","")&amp;IF(E136="","Falta fecha. ","")&amp;IF(F136="","Falta concepto. ","")&amp;IF(G136="","Falta proveedor. ","")&amp;IF(I136="","Falta monto. ","")&amp;IF(AND(I136&lt;&gt;"",I136&lt;=0),"Monto inválido. ","")&amp;IF(AND(COUNTA(J136:M136)&gt;0,OR(J136="",K136="",L136="",M136="")),"Completa los 4 campos de moneda extranjera. ","")&amp;IF(AND(J136&lt;&gt;"",COUNTIF(Catalogos!$F$6,J136)=0),"Moneda de factura inválida. ","")&amp;IF(AND(K136&lt;&gt;"",K136&lt;=0),"Monto de factura inválido. ","")&amp;IF(AND(L136&lt;&gt;"",L136&lt;=0),"Tipo de cambio inválido. ","")))</f>
        <v/>
      </c>
    </row>
    <row r="137" ht="22" customHeight="1">
      <c r="A137" s="17" t="str">
        <f t="shared" si="6"/>
        <v/>
      </c>
      <c r="B137" s="18"/>
      <c r="C137" s="18"/>
      <c r="D137" s="18"/>
      <c r="E137" s="19"/>
      <c r="F137" s="18"/>
      <c r="G137" s="18"/>
      <c r="H137" s="20"/>
      <c r="I137" s="21"/>
      <c r="J137" s="22"/>
      <c r="K137" s="21"/>
      <c r="L137" s="23"/>
      <c r="M137" s="19"/>
      <c r="N137" s="18"/>
      <c r="O137" s="24" t="str">
        <f t="shared" si="7"/>
        <v/>
      </c>
      <c r="P137" s="25" t="str">
        <f>IF(COUNTA(B137:N137)=0,"",TRIM(IF(B137="","Falta categoría. ","")&amp;IF(AND(B137&lt;&gt;"",COUNTIF(Catalogos!$B$6:$B$12,B137)=0),"Categoría inválida. ","")&amp;IF(C137="","Falta centro de costo. ","")&amp;IF(D137="","Falta partida. ","")&amp;IF(E137="","Falta fecha. ","")&amp;IF(F137="","Falta concepto. ","")&amp;IF(G137="","Falta proveedor. ","")&amp;IF(I137="","Falta monto. ","")&amp;IF(AND(I137&lt;&gt;"",I137&lt;=0),"Monto inválido. ","")&amp;IF(AND(COUNTA(J137:M137)&gt;0,OR(J137="",K137="",L137="",M137="")),"Completa los 4 campos de moneda extranjera. ","")&amp;IF(AND(J137&lt;&gt;"",COUNTIF(Catalogos!$F$6,J137)=0),"Moneda de factura inválida. ","")&amp;IF(AND(K137&lt;&gt;"",K137&lt;=0),"Monto de factura inválido. ","")&amp;IF(AND(L137&lt;&gt;"",L137&lt;=0),"Tipo de cambio inválido. ","")))</f>
        <v/>
      </c>
    </row>
    <row r="138" ht="22" customHeight="1">
      <c r="A138" s="17" t="str">
        <f t="shared" si="6"/>
        <v/>
      </c>
      <c r="B138" s="18"/>
      <c r="C138" s="18"/>
      <c r="D138" s="18"/>
      <c r="E138" s="19"/>
      <c r="F138" s="18"/>
      <c r="G138" s="18"/>
      <c r="H138" s="20"/>
      <c r="I138" s="21"/>
      <c r="J138" s="22"/>
      <c r="K138" s="21"/>
      <c r="L138" s="23"/>
      <c r="M138" s="19"/>
      <c r="N138" s="18"/>
      <c r="O138" s="24" t="str">
        <f t="shared" si="7"/>
        <v/>
      </c>
      <c r="P138" s="25" t="str">
        <f>IF(COUNTA(B138:N138)=0,"",TRIM(IF(B138="","Falta categoría. ","")&amp;IF(AND(B138&lt;&gt;"",COUNTIF(Catalogos!$B$6:$B$12,B138)=0),"Categoría inválida. ","")&amp;IF(C138="","Falta centro de costo. ","")&amp;IF(D138="","Falta partida. ","")&amp;IF(E138="","Falta fecha. ","")&amp;IF(F138="","Falta concepto. ","")&amp;IF(G138="","Falta proveedor. ","")&amp;IF(I138="","Falta monto. ","")&amp;IF(AND(I138&lt;&gt;"",I138&lt;=0),"Monto inválido. ","")&amp;IF(AND(COUNTA(J138:M138)&gt;0,OR(J138="",K138="",L138="",M138="")),"Completa los 4 campos de moneda extranjera. ","")&amp;IF(AND(J138&lt;&gt;"",COUNTIF(Catalogos!$F$6,J138)=0),"Moneda de factura inválida. ","")&amp;IF(AND(K138&lt;&gt;"",K138&lt;=0),"Monto de factura inválido. ","")&amp;IF(AND(L138&lt;&gt;"",L138&lt;=0),"Tipo de cambio inválido. ","")))</f>
        <v/>
      </c>
    </row>
    <row r="139" ht="22" customHeight="1">
      <c r="A139" s="17" t="str">
        <f t="shared" si="6"/>
        <v/>
      </c>
      <c r="B139" s="18"/>
      <c r="C139" s="18"/>
      <c r="D139" s="18"/>
      <c r="E139" s="19"/>
      <c r="F139" s="18"/>
      <c r="G139" s="18"/>
      <c r="H139" s="20"/>
      <c r="I139" s="21"/>
      <c r="J139" s="22"/>
      <c r="K139" s="21"/>
      <c r="L139" s="23"/>
      <c r="M139" s="19"/>
      <c r="N139" s="18"/>
      <c r="O139" s="24" t="str">
        <f t="shared" si="7"/>
        <v/>
      </c>
      <c r="P139" s="25" t="str">
        <f>IF(COUNTA(B139:N139)=0,"",TRIM(IF(B139="","Falta categoría. ","")&amp;IF(AND(B139&lt;&gt;"",COUNTIF(Catalogos!$B$6:$B$12,B139)=0),"Categoría inválida. ","")&amp;IF(C139="","Falta centro de costo. ","")&amp;IF(D139="","Falta partida. ","")&amp;IF(E139="","Falta fecha. ","")&amp;IF(F139="","Falta concepto. ","")&amp;IF(G139="","Falta proveedor. ","")&amp;IF(I139="","Falta monto. ","")&amp;IF(AND(I139&lt;&gt;"",I139&lt;=0),"Monto inválido. ","")&amp;IF(AND(COUNTA(J139:M139)&gt;0,OR(J139="",K139="",L139="",M139="")),"Completa los 4 campos de moneda extranjera. ","")&amp;IF(AND(J139&lt;&gt;"",COUNTIF(Catalogos!$F$6,J139)=0),"Moneda de factura inválida. ","")&amp;IF(AND(K139&lt;&gt;"",K139&lt;=0),"Monto de factura inválido. ","")&amp;IF(AND(L139&lt;&gt;"",L139&lt;=0),"Tipo de cambio inválido. ","")))</f>
        <v/>
      </c>
    </row>
    <row r="140" ht="22" customHeight="1">
      <c r="A140" s="17" t="str">
        <f t="shared" si="6"/>
        <v/>
      </c>
      <c r="B140" s="18"/>
      <c r="C140" s="18"/>
      <c r="D140" s="18"/>
      <c r="E140" s="19"/>
      <c r="F140" s="18"/>
      <c r="G140" s="18"/>
      <c r="H140" s="20"/>
      <c r="I140" s="21"/>
      <c r="J140" s="22"/>
      <c r="K140" s="21"/>
      <c r="L140" s="23"/>
      <c r="M140" s="19"/>
      <c r="N140" s="18"/>
      <c r="O140" s="24" t="str">
        <f t="shared" si="7"/>
        <v/>
      </c>
      <c r="P140" s="25" t="str">
        <f>IF(COUNTA(B140:N140)=0,"",TRIM(IF(B140="","Falta categoría. ","")&amp;IF(AND(B140&lt;&gt;"",COUNTIF(Catalogos!$B$6:$B$12,B140)=0),"Categoría inválida. ","")&amp;IF(C140="","Falta centro de costo. ","")&amp;IF(D140="","Falta partida. ","")&amp;IF(E140="","Falta fecha. ","")&amp;IF(F140="","Falta concepto. ","")&amp;IF(G140="","Falta proveedor. ","")&amp;IF(I140="","Falta monto. ","")&amp;IF(AND(I140&lt;&gt;"",I140&lt;=0),"Monto inválido. ","")&amp;IF(AND(COUNTA(J140:M140)&gt;0,OR(J140="",K140="",L140="",M140="")),"Completa los 4 campos de moneda extranjera. ","")&amp;IF(AND(J140&lt;&gt;"",COUNTIF(Catalogos!$F$6,J140)=0),"Moneda de factura inválida. ","")&amp;IF(AND(K140&lt;&gt;"",K140&lt;=0),"Monto de factura inválido. ","")&amp;IF(AND(L140&lt;&gt;"",L140&lt;=0),"Tipo de cambio inválido. ","")))</f>
        <v/>
      </c>
    </row>
    <row r="141" ht="22" customHeight="1">
      <c r="A141" s="17" t="str">
        <f t="shared" si="6"/>
        <v/>
      </c>
      <c r="B141" s="18"/>
      <c r="C141" s="18"/>
      <c r="D141" s="18"/>
      <c r="E141" s="19"/>
      <c r="F141" s="18"/>
      <c r="G141" s="18"/>
      <c r="H141" s="20"/>
      <c r="I141" s="21"/>
      <c r="J141" s="22"/>
      <c r="K141" s="21"/>
      <c r="L141" s="23"/>
      <c r="M141" s="19"/>
      <c r="N141" s="18"/>
      <c r="O141" s="24" t="str">
        <f t="shared" si="7"/>
        <v/>
      </c>
      <c r="P141" s="25" t="str">
        <f>IF(COUNTA(B141:N141)=0,"",TRIM(IF(B141="","Falta categoría. ","")&amp;IF(AND(B141&lt;&gt;"",COUNTIF(Catalogos!$B$6:$B$12,B141)=0),"Categoría inválida. ","")&amp;IF(C141="","Falta centro de costo. ","")&amp;IF(D141="","Falta partida. ","")&amp;IF(E141="","Falta fecha. ","")&amp;IF(F141="","Falta concepto. ","")&amp;IF(G141="","Falta proveedor. ","")&amp;IF(I141="","Falta monto. ","")&amp;IF(AND(I141&lt;&gt;"",I141&lt;=0),"Monto inválido. ","")&amp;IF(AND(COUNTA(J141:M141)&gt;0,OR(J141="",K141="",L141="",M141="")),"Completa los 4 campos de moneda extranjera. ","")&amp;IF(AND(J141&lt;&gt;"",COUNTIF(Catalogos!$F$6,J141)=0),"Moneda de factura inválida. ","")&amp;IF(AND(K141&lt;&gt;"",K141&lt;=0),"Monto de factura inválido. ","")&amp;IF(AND(L141&lt;&gt;"",L141&lt;=0),"Tipo de cambio inválido. ","")))</f>
        <v/>
      </c>
    </row>
    <row r="142" ht="22" customHeight="1">
      <c r="A142" s="17" t="str">
        <f t="shared" si="6"/>
        <v/>
      </c>
      <c r="B142" s="18"/>
      <c r="C142" s="18"/>
      <c r="D142" s="18"/>
      <c r="E142" s="19"/>
      <c r="F142" s="18"/>
      <c r="G142" s="18"/>
      <c r="H142" s="20"/>
      <c r="I142" s="21"/>
      <c r="J142" s="22"/>
      <c r="K142" s="21"/>
      <c r="L142" s="23"/>
      <c r="M142" s="19"/>
      <c r="N142" s="18"/>
      <c r="O142" s="24" t="str">
        <f t="shared" si="7"/>
        <v/>
      </c>
      <c r="P142" s="25" t="str">
        <f>IF(COUNTA(B142:N142)=0,"",TRIM(IF(B142="","Falta categoría. ","")&amp;IF(AND(B142&lt;&gt;"",COUNTIF(Catalogos!$B$6:$B$12,B142)=0),"Categoría inválida. ","")&amp;IF(C142="","Falta centro de costo. ","")&amp;IF(D142="","Falta partida. ","")&amp;IF(E142="","Falta fecha. ","")&amp;IF(F142="","Falta concepto. ","")&amp;IF(G142="","Falta proveedor. ","")&amp;IF(I142="","Falta monto. ","")&amp;IF(AND(I142&lt;&gt;"",I142&lt;=0),"Monto inválido. ","")&amp;IF(AND(COUNTA(J142:M142)&gt;0,OR(J142="",K142="",L142="",M142="")),"Completa los 4 campos de moneda extranjera. ","")&amp;IF(AND(J142&lt;&gt;"",COUNTIF(Catalogos!$F$6,J142)=0),"Moneda de factura inválida. ","")&amp;IF(AND(K142&lt;&gt;"",K142&lt;=0),"Monto de factura inválido. ","")&amp;IF(AND(L142&lt;&gt;"",L142&lt;=0),"Tipo de cambio inválido. ","")))</f>
        <v/>
      </c>
    </row>
    <row r="143" ht="22" customHeight="1">
      <c r="A143" s="17" t="str">
        <f t="shared" si="6"/>
        <v/>
      </c>
      <c r="B143" s="18"/>
      <c r="C143" s="18"/>
      <c r="D143" s="18"/>
      <c r="E143" s="19"/>
      <c r="F143" s="18"/>
      <c r="G143" s="18"/>
      <c r="H143" s="20"/>
      <c r="I143" s="21"/>
      <c r="J143" s="22"/>
      <c r="K143" s="21"/>
      <c r="L143" s="23"/>
      <c r="M143" s="19"/>
      <c r="N143" s="18"/>
      <c r="O143" s="24" t="str">
        <f t="shared" si="7"/>
        <v/>
      </c>
      <c r="P143" s="25" t="str">
        <f>IF(COUNTA(B143:N143)=0,"",TRIM(IF(B143="","Falta categoría. ","")&amp;IF(AND(B143&lt;&gt;"",COUNTIF(Catalogos!$B$6:$B$12,B143)=0),"Categoría inválida. ","")&amp;IF(C143="","Falta centro de costo. ","")&amp;IF(D143="","Falta partida. ","")&amp;IF(E143="","Falta fecha. ","")&amp;IF(F143="","Falta concepto. ","")&amp;IF(G143="","Falta proveedor. ","")&amp;IF(I143="","Falta monto. ","")&amp;IF(AND(I143&lt;&gt;"",I143&lt;=0),"Monto inválido. ","")&amp;IF(AND(COUNTA(J143:M143)&gt;0,OR(J143="",K143="",L143="",M143="")),"Completa los 4 campos de moneda extranjera. ","")&amp;IF(AND(J143&lt;&gt;"",COUNTIF(Catalogos!$F$6,J143)=0),"Moneda de factura inválida. ","")&amp;IF(AND(K143&lt;&gt;"",K143&lt;=0),"Monto de factura inválido. ","")&amp;IF(AND(L143&lt;&gt;"",L143&lt;=0),"Tipo de cambio inválido. ","")))</f>
        <v/>
      </c>
    </row>
    <row r="144" ht="22" customHeight="1">
      <c r="A144" s="17" t="str">
        <f t="shared" si="6"/>
        <v/>
      </c>
      <c r="B144" s="18"/>
      <c r="C144" s="18"/>
      <c r="D144" s="18"/>
      <c r="E144" s="19"/>
      <c r="F144" s="18"/>
      <c r="G144" s="18"/>
      <c r="H144" s="20"/>
      <c r="I144" s="21"/>
      <c r="J144" s="22"/>
      <c r="K144" s="21"/>
      <c r="L144" s="23"/>
      <c r="M144" s="19"/>
      <c r="N144" s="18"/>
      <c r="O144" s="24" t="str">
        <f t="shared" si="7"/>
        <v/>
      </c>
      <c r="P144" s="25" t="str">
        <f>IF(COUNTA(B144:N144)=0,"",TRIM(IF(B144="","Falta categoría. ","")&amp;IF(AND(B144&lt;&gt;"",COUNTIF(Catalogos!$B$6:$B$12,B144)=0),"Categoría inválida. ","")&amp;IF(C144="","Falta centro de costo. ","")&amp;IF(D144="","Falta partida. ","")&amp;IF(E144="","Falta fecha. ","")&amp;IF(F144="","Falta concepto. ","")&amp;IF(G144="","Falta proveedor. ","")&amp;IF(I144="","Falta monto. ","")&amp;IF(AND(I144&lt;&gt;"",I144&lt;=0),"Monto inválido. ","")&amp;IF(AND(COUNTA(J144:M144)&gt;0,OR(J144="",K144="",L144="",M144="")),"Completa los 4 campos de moneda extranjera. ","")&amp;IF(AND(J144&lt;&gt;"",COUNTIF(Catalogos!$F$6,J144)=0),"Moneda de factura inválida. ","")&amp;IF(AND(K144&lt;&gt;"",K144&lt;=0),"Monto de factura inválido. ","")&amp;IF(AND(L144&lt;&gt;"",L144&lt;=0),"Tipo de cambio inválido. ","")))</f>
        <v/>
      </c>
    </row>
    <row r="145" ht="22" customHeight="1">
      <c r="A145" s="17" t="str">
        <f t="shared" si="6"/>
        <v/>
      </c>
      <c r="B145" s="18"/>
      <c r="C145" s="18"/>
      <c r="D145" s="18"/>
      <c r="E145" s="19"/>
      <c r="F145" s="18"/>
      <c r="G145" s="18"/>
      <c r="H145" s="20"/>
      <c r="I145" s="21"/>
      <c r="J145" s="22"/>
      <c r="K145" s="21"/>
      <c r="L145" s="23"/>
      <c r="M145" s="19"/>
      <c r="N145" s="18"/>
      <c r="O145" s="24" t="str">
        <f t="shared" si="7"/>
        <v/>
      </c>
      <c r="P145" s="25" t="str">
        <f>IF(COUNTA(B145:N145)=0,"",TRIM(IF(B145="","Falta categoría. ","")&amp;IF(AND(B145&lt;&gt;"",COUNTIF(Catalogos!$B$6:$B$12,B145)=0),"Categoría inválida. ","")&amp;IF(C145="","Falta centro de costo. ","")&amp;IF(D145="","Falta partida. ","")&amp;IF(E145="","Falta fecha. ","")&amp;IF(F145="","Falta concepto. ","")&amp;IF(G145="","Falta proveedor. ","")&amp;IF(I145="","Falta monto. ","")&amp;IF(AND(I145&lt;&gt;"",I145&lt;=0),"Monto inválido. ","")&amp;IF(AND(COUNTA(J145:M145)&gt;0,OR(J145="",K145="",L145="",M145="")),"Completa los 4 campos de moneda extranjera. ","")&amp;IF(AND(J145&lt;&gt;"",COUNTIF(Catalogos!$F$6,J145)=0),"Moneda de factura inválida. ","")&amp;IF(AND(K145&lt;&gt;"",K145&lt;=0),"Monto de factura inválido. ","")&amp;IF(AND(L145&lt;&gt;"",L145&lt;=0),"Tipo de cambio inválido. ","")))</f>
        <v/>
      </c>
    </row>
    <row r="146" ht="22" customHeight="1">
      <c r="A146" s="17" t="str">
        <f t="shared" si="6"/>
        <v/>
      </c>
      <c r="B146" s="18"/>
      <c r="C146" s="18"/>
      <c r="D146" s="18"/>
      <c r="E146" s="19"/>
      <c r="F146" s="18"/>
      <c r="G146" s="18"/>
      <c r="H146" s="20"/>
      <c r="I146" s="21"/>
      <c r="J146" s="22"/>
      <c r="K146" s="21"/>
      <c r="L146" s="23"/>
      <c r="M146" s="19"/>
      <c r="N146" s="18"/>
      <c r="O146" s="24" t="str">
        <f t="shared" si="7"/>
        <v/>
      </c>
      <c r="P146" s="25" t="str">
        <f>IF(COUNTA(B146:N146)=0,"",TRIM(IF(B146="","Falta categoría. ","")&amp;IF(AND(B146&lt;&gt;"",COUNTIF(Catalogos!$B$6:$B$12,B146)=0),"Categoría inválida. ","")&amp;IF(C146="","Falta centro de costo. ","")&amp;IF(D146="","Falta partida. ","")&amp;IF(E146="","Falta fecha. ","")&amp;IF(F146="","Falta concepto. ","")&amp;IF(G146="","Falta proveedor. ","")&amp;IF(I146="","Falta monto. ","")&amp;IF(AND(I146&lt;&gt;"",I146&lt;=0),"Monto inválido. ","")&amp;IF(AND(COUNTA(J146:M146)&gt;0,OR(J146="",K146="",L146="",M146="")),"Completa los 4 campos de moneda extranjera. ","")&amp;IF(AND(J146&lt;&gt;"",COUNTIF(Catalogos!$F$6,J146)=0),"Moneda de factura inválida. ","")&amp;IF(AND(K146&lt;&gt;"",K146&lt;=0),"Monto de factura inválido. ","")&amp;IF(AND(L146&lt;&gt;"",L146&lt;=0),"Tipo de cambio inválido. ","")))</f>
        <v/>
      </c>
    </row>
    <row r="147" ht="22" customHeight="1">
      <c r="A147" s="17" t="str">
        <f t="shared" si="6"/>
        <v/>
      </c>
      <c r="B147" s="18"/>
      <c r="C147" s="18"/>
      <c r="D147" s="18"/>
      <c r="E147" s="19"/>
      <c r="F147" s="18"/>
      <c r="G147" s="18"/>
      <c r="H147" s="20"/>
      <c r="I147" s="21"/>
      <c r="J147" s="22"/>
      <c r="K147" s="21"/>
      <c r="L147" s="23"/>
      <c r="M147" s="19"/>
      <c r="N147" s="18"/>
      <c r="O147" s="24" t="str">
        <f t="shared" si="7"/>
        <v/>
      </c>
      <c r="P147" s="25" t="str">
        <f>IF(COUNTA(B147:N147)=0,"",TRIM(IF(B147="","Falta categoría. ","")&amp;IF(AND(B147&lt;&gt;"",COUNTIF(Catalogos!$B$6:$B$12,B147)=0),"Categoría inválida. ","")&amp;IF(C147="","Falta centro de costo. ","")&amp;IF(D147="","Falta partida. ","")&amp;IF(E147="","Falta fecha. ","")&amp;IF(F147="","Falta concepto. ","")&amp;IF(G147="","Falta proveedor. ","")&amp;IF(I147="","Falta monto. ","")&amp;IF(AND(I147&lt;&gt;"",I147&lt;=0),"Monto inválido. ","")&amp;IF(AND(COUNTA(J147:M147)&gt;0,OR(J147="",K147="",L147="",M147="")),"Completa los 4 campos de moneda extranjera. ","")&amp;IF(AND(J147&lt;&gt;"",COUNTIF(Catalogos!$F$6,J147)=0),"Moneda de factura inválida. ","")&amp;IF(AND(K147&lt;&gt;"",K147&lt;=0),"Monto de factura inválido. ","")&amp;IF(AND(L147&lt;&gt;"",L147&lt;=0),"Tipo de cambio inválido. ","")))</f>
        <v/>
      </c>
    </row>
    <row r="148" ht="22" customHeight="1">
      <c r="A148" s="17" t="str">
        <f t="shared" si="6"/>
        <v/>
      </c>
      <c r="B148" s="18"/>
      <c r="C148" s="18"/>
      <c r="D148" s="18"/>
      <c r="E148" s="19"/>
      <c r="F148" s="18"/>
      <c r="G148" s="18"/>
      <c r="H148" s="20"/>
      <c r="I148" s="21"/>
      <c r="J148" s="22"/>
      <c r="K148" s="21"/>
      <c r="L148" s="23"/>
      <c r="M148" s="19"/>
      <c r="N148" s="18"/>
      <c r="O148" s="24" t="str">
        <f t="shared" si="7"/>
        <v/>
      </c>
      <c r="P148" s="25" t="str">
        <f>IF(COUNTA(B148:N148)=0,"",TRIM(IF(B148="","Falta categoría. ","")&amp;IF(AND(B148&lt;&gt;"",COUNTIF(Catalogos!$B$6:$B$12,B148)=0),"Categoría inválida. ","")&amp;IF(C148="","Falta centro de costo. ","")&amp;IF(D148="","Falta partida. ","")&amp;IF(E148="","Falta fecha. ","")&amp;IF(F148="","Falta concepto. ","")&amp;IF(G148="","Falta proveedor. ","")&amp;IF(I148="","Falta monto. ","")&amp;IF(AND(I148&lt;&gt;"",I148&lt;=0),"Monto inválido. ","")&amp;IF(AND(COUNTA(J148:M148)&gt;0,OR(J148="",K148="",L148="",M148="")),"Completa los 4 campos de moneda extranjera. ","")&amp;IF(AND(J148&lt;&gt;"",COUNTIF(Catalogos!$F$6,J148)=0),"Moneda de factura inválida. ","")&amp;IF(AND(K148&lt;&gt;"",K148&lt;=0),"Monto de factura inválido. ","")&amp;IF(AND(L148&lt;&gt;"",L148&lt;=0),"Tipo de cambio inválido. ","")))</f>
        <v/>
      </c>
    </row>
    <row r="149" ht="22" customHeight="1">
      <c r="A149" s="17" t="str">
        <f t="shared" si="6"/>
        <v/>
      </c>
      <c r="B149" s="18"/>
      <c r="C149" s="18"/>
      <c r="D149" s="18"/>
      <c r="E149" s="19"/>
      <c r="F149" s="18"/>
      <c r="G149" s="18"/>
      <c r="H149" s="20"/>
      <c r="I149" s="21"/>
      <c r="J149" s="22"/>
      <c r="K149" s="21"/>
      <c r="L149" s="23"/>
      <c r="M149" s="19"/>
      <c r="N149" s="18"/>
      <c r="O149" s="24" t="str">
        <f t="shared" si="7"/>
        <v/>
      </c>
      <c r="P149" s="25" t="str">
        <f>IF(COUNTA(B149:N149)=0,"",TRIM(IF(B149="","Falta categoría. ","")&amp;IF(AND(B149&lt;&gt;"",COUNTIF(Catalogos!$B$6:$B$12,B149)=0),"Categoría inválida. ","")&amp;IF(C149="","Falta centro de costo. ","")&amp;IF(D149="","Falta partida. ","")&amp;IF(E149="","Falta fecha. ","")&amp;IF(F149="","Falta concepto. ","")&amp;IF(G149="","Falta proveedor. ","")&amp;IF(I149="","Falta monto. ","")&amp;IF(AND(I149&lt;&gt;"",I149&lt;=0),"Monto inválido. ","")&amp;IF(AND(COUNTA(J149:M149)&gt;0,OR(J149="",K149="",L149="",M149="")),"Completa los 4 campos de moneda extranjera. ","")&amp;IF(AND(J149&lt;&gt;"",COUNTIF(Catalogos!$F$6,J149)=0),"Moneda de factura inválida. ","")&amp;IF(AND(K149&lt;&gt;"",K149&lt;=0),"Monto de factura inválido. ","")&amp;IF(AND(L149&lt;&gt;"",L149&lt;=0),"Tipo de cambio inválido. ","")))</f>
        <v/>
      </c>
    </row>
    <row r="150" ht="22" customHeight="1">
      <c r="A150" s="17" t="str">
        <f t="shared" si="6"/>
        <v/>
      </c>
      <c r="B150" s="18"/>
      <c r="C150" s="18"/>
      <c r="D150" s="18"/>
      <c r="E150" s="19"/>
      <c r="F150" s="18"/>
      <c r="G150" s="18"/>
      <c r="H150" s="20"/>
      <c r="I150" s="21"/>
      <c r="J150" s="22"/>
      <c r="K150" s="21"/>
      <c r="L150" s="23"/>
      <c r="M150" s="19"/>
      <c r="N150" s="18"/>
      <c r="O150" s="24" t="str">
        <f t="shared" si="7"/>
        <v/>
      </c>
      <c r="P150" s="25" t="str">
        <f>IF(COUNTA(B150:N150)=0,"",TRIM(IF(B150="","Falta categoría. ","")&amp;IF(AND(B150&lt;&gt;"",COUNTIF(Catalogos!$B$6:$B$12,B150)=0),"Categoría inválida. ","")&amp;IF(C150="","Falta centro de costo. ","")&amp;IF(D150="","Falta partida. ","")&amp;IF(E150="","Falta fecha. ","")&amp;IF(F150="","Falta concepto. ","")&amp;IF(G150="","Falta proveedor. ","")&amp;IF(I150="","Falta monto. ","")&amp;IF(AND(I150&lt;&gt;"",I150&lt;=0),"Monto inválido. ","")&amp;IF(AND(COUNTA(J150:M150)&gt;0,OR(J150="",K150="",L150="",M150="")),"Completa los 4 campos de moneda extranjera. ","")&amp;IF(AND(J150&lt;&gt;"",COUNTIF(Catalogos!$F$6,J150)=0),"Moneda de factura inválida. ","")&amp;IF(AND(K150&lt;&gt;"",K150&lt;=0),"Monto de factura inválido. ","")&amp;IF(AND(L150&lt;&gt;"",L150&lt;=0),"Tipo de cambio inválido. ","")))</f>
        <v/>
      </c>
    </row>
    <row r="151" ht="22" customHeight="1">
      <c r="A151" s="17" t="str">
        <f t="shared" si="6"/>
        <v/>
      </c>
      <c r="B151" s="18"/>
      <c r="C151" s="18"/>
      <c r="D151" s="18"/>
      <c r="E151" s="19"/>
      <c r="F151" s="18"/>
      <c r="G151" s="18"/>
      <c r="H151" s="20"/>
      <c r="I151" s="21"/>
      <c r="J151" s="22"/>
      <c r="K151" s="21"/>
      <c r="L151" s="23"/>
      <c r="M151" s="19"/>
      <c r="N151" s="18"/>
      <c r="O151" s="24" t="str">
        <f t="shared" si="7"/>
        <v/>
      </c>
      <c r="P151" s="25" t="str">
        <f>IF(COUNTA(B151:N151)=0,"",TRIM(IF(B151="","Falta categoría. ","")&amp;IF(AND(B151&lt;&gt;"",COUNTIF(Catalogos!$B$6:$B$12,B151)=0),"Categoría inválida. ","")&amp;IF(C151="","Falta centro de costo. ","")&amp;IF(D151="","Falta partida. ","")&amp;IF(E151="","Falta fecha. ","")&amp;IF(F151="","Falta concepto. ","")&amp;IF(G151="","Falta proveedor. ","")&amp;IF(I151="","Falta monto. ","")&amp;IF(AND(I151&lt;&gt;"",I151&lt;=0),"Monto inválido. ","")&amp;IF(AND(COUNTA(J151:M151)&gt;0,OR(J151="",K151="",L151="",M151="")),"Completa los 4 campos de moneda extranjera. ","")&amp;IF(AND(J151&lt;&gt;"",COUNTIF(Catalogos!$F$6,J151)=0),"Moneda de factura inválida. ","")&amp;IF(AND(K151&lt;&gt;"",K151&lt;=0),"Monto de factura inválido. ","")&amp;IF(AND(L151&lt;&gt;"",L151&lt;=0),"Tipo de cambio inválido. ","")))</f>
        <v/>
      </c>
    </row>
    <row r="152" ht="22" customHeight="1">
      <c r="A152" s="17" t="str">
        <f t="shared" si="6"/>
        <v/>
      </c>
      <c r="B152" s="18"/>
      <c r="C152" s="18"/>
      <c r="D152" s="18"/>
      <c r="E152" s="19"/>
      <c r="F152" s="18"/>
      <c r="G152" s="18"/>
      <c r="H152" s="20"/>
      <c r="I152" s="21"/>
      <c r="J152" s="22"/>
      <c r="K152" s="21"/>
      <c r="L152" s="23"/>
      <c r="M152" s="19"/>
      <c r="N152" s="18"/>
      <c r="O152" s="24" t="str">
        <f t="shared" si="7"/>
        <v/>
      </c>
      <c r="P152" s="25" t="str">
        <f>IF(COUNTA(B152:N152)=0,"",TRIM(IF(B152="","Falta categoría. ","")&amp;IF(AND(B152&lt;&gt;"",COUNTIF(Catalogos!$B$6:$B$12,B152)=0),"Categoría inválida. ","")&amp;IF(C152="","Falta centro de costo. ","")&amp;IF(D152="","Falta partida. ","")&amp;IF(E152="","Falta fecha. ","")&amp;IF(F152="","Falta concepto. ","")&amp;IF(G152="","Falta proveedor. ","")&amp;IF(I152="","Falta monto. ","")&amp;IF(AND(I152&lt;&gt;"",I152&lt;=0),"Monto inválido. ","")&amp;IF(AND(COUNTA(J152:M152)&gt;0,OR(J152="",K152="",L152="",M152="")),"Completa los 4 campos de moneda extranjera. ","")&amp;IF(AND(J152&lt;&gt;"",COUNTIF(Catalogos!$F$6,J152)=0),"Moneda de factura inválida. ","")&amp;IF(AND(K152&lt;&gt;"",K152&lt;=0),"Monto de factura inválido. ","")&amp;IF(AND(L152&lt;&gt;"",L152&lt;=0),"Tipo de cambio inválido. ","")))</f>
        <v/>
      </c>
    </row>
    <row r="153" ht="22" customHeight="1">
      <c r="A153" s="17" t="str">
        <f t="shared" si="6"/>
        <v/>
      </c>
      <c r="B153" s="18"/>
      <c r="C153" s="18"/>
      <c r="D153" s="18"/>
      <c r="E153" s="19"/>
      <c r="F153" s="18"/>
      <c r="G153" s="18"/>
      <c r="H153" s="20"/>
      <c r="I153" s="21"/>
      <c r="J153" s="22"/>
      <c r="K153" s="21"/>
      <c r="L153" s="23"/>
      <c r="M153" s="19"/>
      <c r="N153" s="18"/>
      <c r="O153" s="24" t="str">
        <f t="shared" si="7"/>
        <v/>
      </c>
      <c r="P153" s="25" t="str">
        <f>IF(COUNTA(B153:N153)=0,"",TRIM(IF(B153="","Falta categoría. ","")&amp;IF(AND(B153&lt;&gt;"",COUNTIF(Catalogos!$B$6:$B$12,B153)=0),"Categoría inválida. ","")&amp;IF(C153="","Falta centro de costo. ","")&amp;IF(D153="","Falta partida. ","")&amp;IF(E153="","Falta fecha. ","")&amp;IF(F153="","Falta concepto. ","")&amp;IF(G153="","Falta proveedor. ","")&amp;IF(I153="","Falta monto. ","")&amp;IF(AND(I153&lt;&gt;"",I153&lt;=0),"Monto inválido. ","")&amp;IF(AND(COUNTA(J153:M153)&gt;0,OR(J153="",K153="",L153="",M153="")),"Completa los 4 campos de moneda extranjera. ","")&amp;IF(AND(J153&lt;&gt;"",COUNTIF(Catalogos!$F$6,J153)=0),"Moneda de factura inválida. ","")&amp;IF(AND(K153&lt;&gt;"",K153&lt;=0),"Monto de factura inválido. ","")&amp;IF(AND(L153&lt;&gt;"",L153&lt;=0),"Tipo de cambio inválido. ","")))</f>
        <v/>
      </c>
    </row>
    <row r="154" ht="22" customHeight="1">
      <c r="A154" s="17" t="str">
        <f t="shared" si="6"/>
        <v/>
      </c>
      <c r="B154" s="18"/>
      <c r="C154" s="18"/>
      <c r="D154" s="18"/>
      <c r="E154" s="19"/>
      <c r="F154" s="18"/>
      <c r="G154" s="18"/>
      <c r="H154" s="20"/>
      <c r="I154" s="21"/>
      <c r="J154" s="22"/>
      <c r="K154" s="21"/>
      <c r="L154" s="23"/>
      <c r="M154" s="19"/>
      <c r="N154" s="18"/>
      <c r="O154" s="24" t="str">
        <f t="shared" si="7"/>
        <v/>
      </c>
      <c r="P154" s="25" t="str">
        <f>IF(COUNTA(B154:N154)=0,"",TRIM(IF(B154="","Falta categoría. ","")&amp;IF(AND(B154&lt;&gt;"",COUNTIF(Catalogos!$B$6:$B$12,B154)=0),"Categoría inválida. ","")&amp;IF(C154="","Falta centro de costo. ","")&amp;IF(D154="","Falta partida. ","")&amp;IF(E154="","Falta fecha. ","")&amp;IF(F154="","Falta concepto. ","")&amp;IF(G154="","Falta proveedor. ","")&amp;IF(I154="","Falta monto. ","")&amp;IF(AND(I154&lt;&gt;"",I154&lt;=0),"Monto inválido. ","")&amp;IF(AND(COUNTA(J154:M154)&gt;0,OR(J154="",K154="",L154="",M154="")),"Completa los 4 campos de moneda extranjera. ","")&amp;IF(AND(J154&lt;&gt;"",COUNTIF(Catalogos!$F$6,J154)=0),"Moneda de factura inválida. ","")&amp;IF(AND(K154&lt;&gt;"",K154&lt;=0),"Monto de factura inválido. ","")&amp;IF(AND(L154&lt;&gt;"",L154&lt;=0),"Tipo de cambio inválido. ","")))</f>
        <v/>
      </c>
    </row>
    <row r="155" ht="22" customHeight="1">
      <c r="A155" s="17" t="str">
        <f t="shared" si="6"/>
        <v/>
      </c>
      <c r="B155" s="18"/>
      <c r="C155" s="18"/>
      <c r="D155" s="18"/>
      <c r="E155" s="19"/>
      <c r="F155" s="18"/>
      <c r="G155" s="18"/>
      <c r="H155" s="20"/>
      <c r="I155" s="21"/>
      <c r="J155" s="22"/>
      <c r="K155" s="21"/>
      <c r="L155" s="23"/>
      <c r="M155" s="19"/>
      <c r="N155" s="18"/>
      <c r="O155" s="24" t="str">
        <f t="shared" si="7"/>
        <v/>
      </c>
      <c r="P155" s="25" t="str">
        <f>IF(COUNTA(B155:N155)=0,"",TRIM(IF(B155="","Falta categoría. ","")&amp;IF(AND(B155&lt;&gt;"",COUNTIF(Catalogos!$B$6:$B$12,B155)=0),"Categoría inválida. ","")&amp;IF(C155="","Falta centro de costo. ","")&amp;IF(D155="","Falta partida. ","")&amp;IF(E155="","Falta fecha. ","")&amp;IF(F155="","Falta concepto. ","")&amp;IF(G155="","Falta proveedor. ","")&amp;IF(I155="","Falta monto. ","")&amp;IF(AND(I155&lt;&gt;"",I155&lt;=0),"Monto inválido. ","")&amp;IF(AND(COUNTA(J155:M155)&gt;0,OR(J155="",K155="",L155="",M155="")),"Completa los 4 campos de moneda extranjera. ","")&amp;IF(AND(J155&lt;&gt;"",COUNTIF(Catalogos!$F$6,J155)=0),"Moneda de factura inválida. ","")&amp;IF(AND(K155&lt;&gt;"",K155&lt;=0),"Monto de factura inválido. ","")&amp;IF(AND(L155&lt;&gt;"",L155&lt;=0),"Tipo de cambio inválido. ","")))</f>
        <v/>
      </c>
    </row>
    <row r="156" ht="22" customHeight="1">
      <c r="A156" s="17" t="str">
        <f t="shared" si="6"/>
        <v/>
      </c>
      <c r="B156" s="18"/>
      <c r="C156" s="18"/>
      <c r="D156" s="18"/>
      <c r="E156" s="19"/>
      <c r="F156" s="18"/>
      <c r="G156" s="18"/>
      <c r="H156" s="20"/>
      <c r="I156" s="21"/>
      <c r="J156" s="22"/>
      <c r="K156" s="21"/>
      <c r="L156" s="23"/>
      <c r="M156" s="19"/>
      <c r="N156" s="18"/>
      <c r="O156" s="24" t="str">
        <f t="shared" si="7"/>
        <v/>
      </c>
      <c r="P156" s="25" t="str">
        <f>IF(COUNTA(B156:N156)=0,"",TRIM(IF(B156="","Falta categoría. ","")&amp;IF(AND(B156&lt;&gt;"",COUNTIF(Catalogos!$B$6:$B$12,B156)=0),"Categoría inválida. ","")&amp;IF(C156="","Falta centro de costo. ","")&amp;IF(D156="","Falta partida. ","")&amp;IF(E156="","Falta fecha. ","")&amp;IF(F156="","Falta concepto. ","")&amp;IF(G156="","Falta proveedor. ","")&amp;IF(I156="","Falta monto. ","")&amp;IF(AND(I156&lt;&gt;"",I156&lt;=0),"Monto inválido. ","")&amp;IF(AND(COUNTA(J156:M156)&gt;0,OR(J156="",K156="",L156="",M156="")),"Completa los 4 campos de moneda extranjera. ","")&amp;IF(AND(J156&lt;&gt;"",COUNTIF(Catalogos!$F$6,J156)=0),"Moneda de factura inválida. ","")&amp;IF(AND(K156&lt;&gt;"",K156&lt;=0),"Monto de factura inválido. ","")&amp;IF(AND(L156&lt;&gt;"",L156&lt;=0),"Tipo de cambio inválido. ","")))</f>
        <v/>
      </c>
    </row>
    <row r="157" ht="22" customHeight="1">
      <c r="A157" s="17" t="str">
        <f t="shared" si="6"/>
        <v/>
      </c>
      <c r="B157" s="18"/>
      <c r="C157" s="18"/>
      <c r="D157" s="18"/>
      <c r="E157" s="19"/>
      <c r="F157" s="18"/>
      <c r="G157" s="18"/>
      <c r="H157" s="20"/>
      <c r="I157" s="21"/>
      <c r="J157" s="22"/>
      <c r="K157" s="21"/>
      <c r="L157" s="23"/>
      <c r="M157" s="19"/>
      <c r="N157" s="18"/>
      <c r="O157" s="24" t="str">
        <f t="shared" si="7"/>
        <v/>
      </c>
      <c r="P157" s="25" t="str">
        <f>IF(COUNTA(B157:N157)=0,"",TRIM(IF(B157="","Falta categoría. ","")&amp;IF(AND(B157&lt;&gt;"",COUNTIF(Catalogos!$B$6:$B$12,B157)=0),"Categoría inválida. ","")&amp;IF(C157="","Falta centro de costo. ","")&amp;IF(D157="","Falta partida. ","")&amp;IF(E157="","Falta fecha. ","")&amp;IF(F157="","Falta concepto. ","")&amp;IF(G157="","Falta proveedor. ","")&amp;IF(I157="","Falta monto. ","")&amp;IF(AND(I157&lt;&gt;"",I157&lt;=0),"Monto inválido. ","")&amp;IF(AND(COUNTA(J157:M157)&gt;0,OR(J157="",K157="",L157="",M157="")),"Completa los 4 campos de moneda extranjera. ","")&amp;IF(AND(J157&lt;&gt;"",COUNTIF(Catalogos!$F$6,J157)=0),"Moneda de factura inválida. ","")&amp;IF(AND(K157&lt;&gt;"",K157&lt;=0),"Monto de factura inválido. ","")&amp;IF(AND(L157&lt;&gt;"",L157&lt;=0),"Tipo de cambio inválido. ","")))</f>
        <v/>
      </c>
    </row>
    <row r="158" ht="22" customHeight="1">
      <c r="A158" s="17" t="str">
        <f t="shared" si="6"/>
        <v/>
      </c>
      <c r="B158" s="18"/>
      <c r="C158" s="18"/>
      <c r="D158" s="18"/>
      <c r="E158" s="19"/>
      <c r="F158" s="18"/>
      <c r="G158" s="18"/>
      <c r="H158" s="20"/>
      <c r="I158" s="21"/>
      <c r="J158" s="22"/>
      <c r="K158" s="21"/>
      <c r="L158" s="23"/>
      <c r="M158" s="19"/>
      <c r="N158" s="18"/>
      <c r="O158" s="24" t="str">
        <f t="shared" si="7"/>
        <v/>
      </c>
      <c r="P158" s="25" t="str">
        <f>IF(COUNTA(B158:N158)=0,"",TRIM(IF(B158="","Falta categoría. ","")&amp;IF(AND(B158&lt;&gt;"",COUNTIF(Catalogos!$B$6:$B$12,B158)=0),"Categoría inválida. ","")&amp;IF(C158="","Falta centro de costo. ","")&amp;IF(D158="","Falta partida. ","")&amp;IF(E158="","Falta fecha. ","")&amp;IF(F158="","Falta concepto. ","")&amp;IF(G158="","Falta proveedor. ","")&amp;IF(I158="","Falta monto. ","")&amp;IF(AND(I158&lt;&gt;"",I158&lt;=0),"Monto inválido. ","")&amp;IF(AND(COUNTA(J158:M158)&gt;0,OR(J158="",K158="",L158="",M158="")),"Completa los 4 campos de moneda extranjera. ","")&amp;IF(AND(J158&lt;&gt;"",COUNTIF(Catalogos!$F$6,J158)=0),"Moneda de factura inválida. ","")&amp;IF(AND(K158&lt;&gt;"",K158&lt;=0),"Monto de factura inválido. ","")&amp;IF(AND(L158&lt;&gt;"",L158&lt;=0),"Tipo de cambio inválido. ","")))</f>
        <v/>
      </c>
    </row>
    <row r="159" ht="22" customHeight="1">
      <c r="A159" s="17" t="str">
        <f t="shared" si="6"/>
        <v/>
      </c>
      <c r="B159" s="18"/>
      <c r="C159" s="18"/>
      <c r="D159" s="18"/>
      <c r="E159" s="19"/>
      <c r="F159" s="18"/>
      <c r="G159" s="18"/>
      <c r="H159" s="20"/>
      <c r="I159" s="21"/>
      <c r="J159" s="22"/>
      <c r="K159" s="21"/>
      <c r="L159" s="23"/>
      <c r="M159" s="19"/>
      <c r="N159" s="18"/>
      <c r="O159" s="24" t="str">
        <f t="shared" si="7"/>
        <v/>
      </c>
      <c r="P159" s="25" t="str">
        <f>IF(COUNTA(B159:N159)=0,"",TRIM(IF(B159="","Falta categoría. ","")&amp;IF(AND(B159&lt;&gt;"",COUNTIF(Catalogos!$B$6:$B$12,B159)=0),"Categoría inválida. ","")&amp;IF(C159="","Falta centro de costo. ","")&amp;IF(D159="","Falta partida. ","")&amp;IF(E159="","Falta fecha. ","")&amp;IF(F159="","Falta concepto. ","")&amp;IF(G159="","Falta proveedor. ","")&amp;IF(I159="","Falta monto. ","")&amp;IF(AND(I159&lt;&gt;"",I159&lt;=0),"Monto inválido. ","")&amp;IF(AND(COUNTA(J159:M159)&gt;0,OR(J159="",K159="",L159="",M159="")),"Completa los 4 campos de moneda extranjera. ","")&amp;IF(AND(J159&lt;&gt;"",COUNTIF(Catalogos!$F$6,J159)=0),"Moneda de factura inválida. ","")&amp;IF(AND(K159&lt;&gt;"",K159&lt;=0),"Monto de factura inválido. ","")&amp;IF(AND(L159&lt;&gt;"",L159&lt;=0),"Tipo de cambio inválido. ","")))</f>
        <v/>
      </c>
    </row>
    <row r="160" ht="22" customHeight="1">
      <c r="A160" s="17" t="str">
        <f t="shared" si="6"/>
        <v/>
      </c>
      <c r="B160" s="18"/>
      <c r="C160" s="18"/>
      <c r="D160" s="18"/>
      <c r="E160" s="19"/>
      <c r="F160" s="18"/>
      <c r="G160" s="18"/>
      <c r="H160" s="20"/>
      <c r="I160" s="21"/>
      <c r="J160" s="22"/>
      <c r="K160" s="21"/>
      <c r="L160" s="23"/>
      <c r="M160" s="19"/>
      <c r="N160" s="18"/>
      <c r="O160" s="24" t="str">
        <f t="shared" si="7"/>
        <v/>
      </c>
      <c r="P160" s="25" t="str">
        <f>IF(COUNTA(B160:N160)=0,"",TRIM(IF(B160="","Falta categoría. ","")&amp;IF(AND(B160&lt;&gt;"",COUNTIF(Catalogos!$B$6:$B$12,B160)=0),"Categoría inválida. ","")&amp;IF(C160="","Falta centro de costo. ","")&amp;IF(D160="","Falta partida. ","")&amp;IF(E160="","Falta fecha. ","")&amp;IF(F160="","Falta concepto. ","")&amp;IF(G160="","Falta proveedor. ","")&amp;IF(I160="","Falta monto. ","")&amp;IF(AND(I160&lt;&gt;"",I160&lt;=0),"Monto inválido. ","")&amp;IF(AND(COUNTA(J160:M160)&gt;0,OR(J160="",K160="",L160="",M160="")),"Completa los 4 campos de moneda extranjera. ","")&amp;IF(AND(J160&lt;&gt;"",COUNTIF(Catalogos!$F$6,J160)=0),"Moneda de factura inválida. ","")&amp;IF(AND(K160&lt;&gt;"",K160&lt;=0),"Monto de factura inválido. ","")&amp;IF(AND(L160&lt;&gt;"",L160&lt;=0),"Tipo de cambio inválido. ","")))</f>
        <v/>
      </c>
    </row>
    <row r="161" ht="22" customHeight="1">
      <c r="A161" s="17" t="str">
        <f t="shared" si="6"/>
        <v/>
      </c>
      <c r="B161" s="18"/>
      <c r="C161" s="18"/>
      <c r="D161" s="18"/>
      <c r="E161" s="19"/>
      <c r="F161" s="18"/>
      <c r="G161" s="18"/>
      <c r="H161" s="20"/>
      <c r="I161" s="21"/>
      <c r="J161" s="22"/>
      <c r="K161" s="21"/>
      <c r="L161" s="23"/>
      <c r="M161" s="19"/>
      <c r="N161" s="18"/>
      <c r="O161" s="24" t="str">
        <f t="shared" si="7"/>
        <v/>
      </c>
      <c r="P161" s="25" t="str">
        <f>IF(COUNTA(B161:N161)=0,"",TRIM(IF(B161="","Falta categoría. ","")&amp;IF(AND(B161&lt;&gt;"",COUNTIF(Catalogos!$B$6:$B$12,B161)=0),"Categoría inválida. ","")&amp;IF(C161="","Falta centro de costo. ","")&amp;IF(D161="","Falta partida. ","")&amp;IF(E161="","Falta fecha. ","")&amp;IF(F161="","Falta concepto. ","")&amp;IF(G161="","Falta proveedor. ","")&amp;IF(I161="","Falta monto. ","")&amp;IF(AND(I161&lt;&gt;"",I161&lt;=0),"Monto inválido. ","")&amp;IF(AND(COUNTA(J161:M161)&gt;0,OR(J161="",K161="",L161="",M161="")),"Completa los 4 campos de moneda extranjera. ","")&amp;IF(AND(J161&lt;&gt;"",COUNTIF(Catalogos!$F$6,J161)=0),"Moneda de factura inválida. ","")&amp;IF(AND(K161&lt;&gt;"",K161&lt;=0),"Monto de factura inválido. ","")&amp;IF(AND(L161&lt;&gt;"",L161&lt;=0),"Tipo de cambio inválido. ","")))</f>
        <v/>
      </c>
    </row>
    <row r="162" ht="22" customHeight="1">
      <c r="A162" s="17" t="str">
        <f t="shared" si="6"/>
        <v/>
      </c>
      <c r="B162" s="18"/>
      <c r="C162" s="18"/>
      <c r="D162" s="18"/>
      <c r="E162" s="19"/>
      <c r="F162" s="18"/>
      <c r="G162" s="18"/>
      <c r="H162" s="20"/>
      <c r="I162" s="21"/>
      <c r="J162" s="22"/>
      <c r="K162" s="21"/>
      <c r="L162" s="23"/>
      <c r="M162" s="19"/>
      <c r="N162" s="18"/>
      <c r="O162" s="24" t="str">
        <f t="shared" si="7"/>
        <v/>
      </c>
      <c r="P162" s="25" t="str">
        <f>IF(COUNTA(B162:N162)=0,"",TRIM(IF(B162="","Falta categoría. ","")&amp;IF(AND(B162&lt;&gt;"",COUNTIF(Catalogos!$B$6:$B$12,B162)=0),"Categoría inválida. ","")&amp;IF(C162="","Falta centro de costo. ","")&amp;IF(D162="","Falta partida. ","")&amp;IF(E162="","Falta fecha. ","")&amp;IF(F162="","Falta concepto. ","")&amp;IF(G162="","Falta proveedor. ","")&amp;IF(I162="","Falta monto. ","")&amp;IF(AND(I162&lt;&gt;"",I162&lt;=0),"Monto inválido. ","")&amp;IF(AND(COUNTA(J162:M162)&gt;0,OR(J162="",K162="",L162="",M162="")),"Completa los 4 campos de moneda extranjera. ","")&amp;IF(AND(J162&lt;&gt;"",COUNTIF(Catalogos!$F$6,J162)=0),"Moneda de factura inválida. ","")&amp;IF(AND(K162&lt;&gt;"",K162&lt;=0),"Monto de factura inválido. ","")&amp;IF(AND(L162&lt;&gt;"",L162&lt;=0),"Tipo de cambio inválido. ","")))</f>
        <v/>
      </c>
    </row>
    <row r="163" ht="22" customHeight="1">
      <c r="A163" s="17" t="str">
        <f t="shared" si="6"/>
        <v/>
      </c>
      <c r="B163" s="18"/>
      <c r="C163" s="18"/>
      <c r="D163" s="18"/>
      <c r="E163" s="19"/>
      <c r="F163" s="18"/>
      <c r="G163" s="18"/>
      <c r="H163" s="20"/>
      <c r="I163" s="21"/>
      <c r="J163" s="22"/>
      <c r="K163" s="21"/>
      <c r="L163" s="23"/>
      <c r="M163" s="19"/>
      <c r="N163" s="18"/>
      <c r="O163" s="24" t="str">
        <f t="shared" si="7"/>
        <v/>
      </c>
      <c r="P163" s="25" t="str">
        <f>IF(COUNTA(B163:N163)=0,"",TRIM(IF(B163="","Falta categoría. ","")&amp;IF(AND(B163&lt;&gt;"",COUNTIF(Catalogos!$B$6:$B$12,B163)=0),"Categoría inválida. ","")&amp;IF(C163="","Falta centro de costo. ","")&amp;IF(D163="","Falta partida. ","")&amp;IF(E163="","Falta fecha. ","")&amp;IF(F163="","Falta concepto. ","")&amp;IF(G163="","Falta proveedor. ","")&amp;IF(I163="","Falta monto. ","")&amp;IF(AND(I163&lt;&gt;"",I163&lt;=0),"Monto inválido. ","")&amp;IF(AND(COUNTA(J163:M163)&gt;0,OR(J163="",K163="",L163="",M163="")),"Completa los 4 campos de moneda extranjera. ","")&amp;IF(AND(J163&lt;&gt;"",COUNTIF(Catalogos!$F$6,J163)=0),"Moneda de factura inválida. ","")&amp;IF(AND(K163&lt;&gt;"",K163&lt;=0),"Monto de factura inválido. ","")&amp;IF(AND(L163&lt;&gt;"",L163&lt;=0),"Tipo de cambio inválido. ","")))</f>
        <v/>
      </c>
    </row>
    <row r="164" ht="22" customHeight="1">
      <c r="A164" s="17" t="str">
        <f t="shared" ref="A164:A205" si="8">IF(COUNTA(B164:N164)=0,"",ROW()-5)</f>
        <v/>
      </c>
      <c r="B164" s="18"/>
      <c r="C164" s="18"/>
      <c r="D164" s="18"/>
      <c r="E164" s="19"/>
      <c r="F164" s="18"/>
      <c r="G164" s="18"/>
      <c r="H164" s="20"/>
      <c r="I164" s="21"/>
      <c r="J164" s="22"/>
      <c r="K164" s="21"/>
      <c r="L164" s="23"/>
      <c r="M164" s="19"/>
      <c r="N164" s="18"/>
      <c r="O164" s="24" t="str">
        <f t="shared" ref="O164:O205" si="9">IF(COUNTA(B164:N164)=0,"",IF(P164="","LISTO","REVISAR"))</f>
        <v/>
      </c>
      <c r="P164" s="25" t="str">
        <f>IF(COUNTA(B164:N164)=0,"",TRIM(IF(B164="","Falta categoría. ","")&amp;IF(AND(B164&lt;&gt;"",COUNTIF(Catalogos!$B$6:$B$12,B164)=0),"Categoría inválida. ","")&amp;IF(C164="","Falta centro de costo. ","")&amp;IF(D164="","Falta partida. ","")&amp;IF(E164="","Falta fecha. ","")&amp;IF(F164="","Falta concepto. ","")&amp;IF(G164="","Falta proveedor. ","")&amp;IF(I164="","Falta monto. ","")&amp;IF(AND(I164&lt;&gt;"",I164&lt;=0),"Monto inválido. ","")&amp;IF(AND(COUNTA(J164:M164)&gt;0,OR(J164="",K164="",L164="",M164="")),"Completa los 4 campos de moneda extranjera. ","")&amp;IF(AND(J164&lt;&gt;"",COUNTIF(Catalogos!$F$6,J164)=0),"Moneda de factura inválida. ","")&amp;IF(AND(K164&lt;&gt;"",K164&lt;=0),"Monto de factura inválido. ","")&amp;IF(AND(L164&lt;&gt;"",L164&lt;=0),"Tipo de cambio inválido. ","")))</f>
        <v/>
      </c>
    </row>
    <row r="165" ht="22" customHeight="1">
      <c r="A165" s="17" t="str">
        <f t="shared" si="8"/>
        <v/>
      </c>
      <c r="B165" s="18"/>
      <c r="C165" s="18"/>
      <c r="D165" s="18"/>
      <c r="E165" s="19"/>
      <c r="F165" s="18"/>
      <c r="G165" s="18"/>
      <c r="H165" s="20"/>
      <c r="I165" s="21"/>
      <c r="J165" s="22"/>
      <c r="K165" s="21"/>
      <c r="L165" s="23"/>
      <c r="M165" s="19"/>
      <c r="N165" s="18"/>
      <c r="O165" s="24" t="str">
        <f t="shared" si="9"/>
        <v/>
      </c>
      <c r="P165" s="25" t="str">
        <f>IF(COUNTA(B165:N165)=0,"",TRIM(IF(B165="","Falta categoría. ","")&amp;IF(AND(B165&lt;&gt;"",COUNTIF(Catalogos!$B$6:$B$12,B165)=0),"Categoría inválida. ","")&amp;IF(C165="","Falta centro de costo. ","")&amp;IF(D165="","Falta partida. ","")&amp;IF(E165="","Falta fecha. ","")&amp;IF(F165="","Falta concepto. ","")&amp;IF(G165="","Falta proveedor. ","")&amp;IF(I165="","Falta monto. ","")&amp;IF(AND(I165&lt;&gt;"",I165&lt;=0),"Monto inválido. ","")&amp;IF(AND(COUNTA(J165:M165)&gt;0,OR(J165="",K165="",L165="",M165="")),"Completa los 4 campos de moneda extranjera. ","")&amp;IF(AND(J165&lt;&gt;"",COUNTIF(Catalogos!$F$6,J165)=0),"Moneda de factura inválida. ","")&amp;IF(AND(K165&lt;&gt;"",K165&lt;=0),"Monto de factura inválido. ","")&amp;IF(AND(L165&lt;&gt;"",L165&lt;=0),"Tipo de cambio inválido. ","")))</f>
        <v/>
      </c>
    </row>
    <row r="166" ht="22" customHeight="1">
      <c r="A166" s="17" t="str">
        <f t="shared" si="8"/>
        <v/>
      </c>
      <c r="B166" s="18"/>
      <c r="C166" s="18"/>
      <c r="D166" s="18"/>
      <c r="E166" s="19"/>
      <c r="F166" s="18"/>
      <c r="G166" s="18"/>
      <c r="H166" s="20"/>
      <c r="I166" s="21"/>
      <c r="J166" s="22"/>
      <c r="K166" s="21"/>
      <c r="L166" s="23"/>
      <c r="M166" s="19"/>
      <c r="N166" s="18"/>
      <c r="O166" s="24" t="str">
        <f t="shared" si="9"/>
        <v/>
      </c>
      <c r="P166" s="25" t="str">
        <f>IF(COUNTA(B166:N166)=0,"",TRIM(IF(B166="","Falta categoría. ","")&amp;IF(AND(B166&lt;&gt;"",COUNTIF(Catalogos!$B$6:$B$12,B166)=0),"Categoría inválida. ","")&amp;IF(C166="","Falta centro de costo. ","")&amp;IF(D166="","Falta partida. ","")&amp;IF(E166="","Falta fecha. ","")&amp;IF(F166="","Falta concepto. ","")&amp;IF(G166="","Falta proveedor. ","")&amp;IF(I166="","Falta monto. ","")&amp;IF(AND(I166&lt;&gt;"",I166&lt;=0),"Monto inválido. ","")&amp;IF(AND(COUNTA(J166:M166)&gt;0,OR(J166="",K166="",L166="",M166="")),"Completa los 4 campos de moneda extranjera. ","")&amp;IF(AND(J166&lt;&gt;"",COUNTIF(Catalogos!$F$6,J166)=0),"Moneda de factura inválida. ","")&amp;IF(AND(K166&lt;&gt;"",K166&lt;=0),"Monto de factura inválido. ","")&amp;IF(AND(L166&lt;&gt;"",L166&lt;=0),"Tipo de cambio inválido. ","")))</f>
        <v/>
      </c>
    </row>
    <row r="167" ht="22" customHeight="1">
      <c r="A167" s="17" t="str">
        <f t="shared" si="8"/>
        <v/>
      </c>
      <c r="B167" s="18"/>
      <c r="C167" s="18"/>
      <c r="D167" s="18"/>
      <c r="E167" s="19"/>
      <c r="F167" s="18"/>
      <c r="G167" s="18"/>
      <c r="H167" s="20"/>
      <c r="I167" s="21"/>
      <c r="J167" s="22"/>
      <c r="K167" s="21"/>
      <c r="L167" s="23"/>
      <c r="M167" s="19"/>
      <c r="N167" s="18"/>
      <c r="O167" s="24" t="str">
        <f t="shared" si="9"/>
        <v/>
      </c>
      <c r="P167" s="25" t="str">
        <f>IF(COUNTA(B167:N167)=0,"",TRIM(IF(B167="","Falta categoría. ","")&amp;IF(AND(B167&lt;&gt;"",COUNTIF(Catalogos!$B$6:$B$12,B167)=0),"Categoría inválida. ","")&amp;IF(C167="","Falta centro de costo. ","")&amp;IF(D167="","Falta partida. ","")&amp;IF(E167="","Falta fecha. ","")&amp;IF(F167="","Falta concepto. ","")&amp;IF(G167="","Falta proveedor. ","")&amp;IF(I167="","Falta monto. ","")&amp;IF(AND(I167&lt;&gt;"",I167&lt;=0),"Monto inválido. ","")&amp;IF(AND(COUNTA(J167:M167)&gt;0,OR(J167="",K167="",L167="",M167="")),"Completa los 4 campos de moneda extranjera. ","")&amp;IF(AND(J167&lt;&gt;"",COUNTIF(Catalogos!$F$6,J167)=0),"Moneda de factura inválida. ","")&amp;IF(AND(K167&lt;&gt;"",K167&lt;=0),"Monto de factura inválido. ","")&amp;IF(AND(L167&lt;&gt;"",L167&lt;=0),"Tipo de cambio inválido. ","")))</f>
        <v/>
      </c>
    </row>
    <row r="168" ht="22" customHeight="1">
      <c r="A168" s="17" t="str">
        <f t="shared" si="8"/>
        <v/>
      </c>
      <c r="B168" s="18"/>
      <c r="C168" s="18"/>
      <c r="D168" s="18"/>
      <c r="E168" s="19"/>
      <c r="F168" s="18"/>
      <c r="G168" s="18"/>
      <c r="H168" s="20"/>
      <c r="I168" s="21"/>
      <c r="J168" s="22"/>
      <c r="K168" s="21"/>
      <c r="L168" s="23"/>
      <c r="M168" s="19"/>
      <c r="N168" s="18"/>
      <c r="O168" s="24" t="str">
        <f t="shared" si="9"/>
        <v/>
      </c>
      <c r="P168" s="25" t="str">
        <f>IF(COUNTA(B168:N168)=0,"",TRIM(IF(B168="","Falta categoría. ","")&amp;IF(AND(B168&lt;&gt;"",COUNTIF(Catalogos!$B$6:$B$12,B168)=0),"Categoría inválida. ","")&amp;IF(C168="","Falta centro de costo. ","")&amp;IF(D168="","Falta partida. ","")&amp;IF(E168="","Falta fecha. ","")&amp;IF(F168="","Falta concepto. ","")&amp;IF(G168="","Falta proveedor. ","")&amp;IF(I168="","Falta monto. ","")&amp;IF(AND(I168&lt;&gt;"",I168&lt;=0),"Monto inválido. ","")&amp;IF(AND(COUNTA(J168:M168)&gt;0,OR(J168="",K168="",L168="",M168="")),"Completa los 4 campos de moneda extranjera. ","")&amp;IF(AND(J168&lt;&gt;"",COUNTIF(Catalogos!$F$6,J168)=0),"Moneda de factura inválida. ","")&amp;IF(AND(K168&lt;&gt;"",K168&lt;=0),"Monto de factura inválido. ","")&amp;IF(AND(L168&lt;&gt;"",L168&lt;=0),"Tipo de cambio inválido. ","")))</f>
        <v/>
      </c>
    </row>
    <row r="169" ht="22" customHeight="1">
      <c r="A169" s="17" t="str">
        <f t="shared" si="8"/>
        <v/>
      </c>
      <c r="B169" s="18"/>
      <c r="C169" s="18"/>
      <c r="D169" s="18"/>
      <c r="E169" s="19"/>
      <c r="F169" s="18"/>
      <c r="G169" s="18"/>
      <c r="H169" s="20"/>
      <c r="I169" s="21"/>
      <c r="J169" s="22"/>
      <c r="K169" s="21"/>
      <c r="L169" s="23"/>
      <c r="M169" s="19"/>
      <c r="N169" s="18"/>
      <c r="O169" s="24" t="str">
        <f t="shared" si="9"/>
        <v/>
      </c>
      <c r="P169" s="25" t="str">
        <f>IF(COUNTA(B169:N169)=0,"",TRIM(IF(B169="","Falta categoría. ","")&amp;IF(AND(B169&lt;&gt;"",COUNTIF(Catalogos!$B$6:$B$12,B169)=0),"Categoría inválida. ","")&amp;IF(C169="","Falta centro de costo. ","")&amp;IF(D169="","Falta partida. ","")&amp;IF(E169="","Falta fecha. ","")&amp;IF(F169="","Falta concepto. ","")&amp;IF(G169="","Falta proveedor. ","")&amp;IF(I169="","Falta monto. ","")&amp;IF(AND(I169&lt;&gt;"",I169&lt;=0),"Monto inválido. ","")&amp;IF(AND(COUNTA(J169:M169)&gt;0,OR(J169="",K169="",L169="",M169="")),"Completa los 4 campos de moneda extranjera. ","")&amp;IF(AND(J169&lt;&gt;"",COUNTIF(Catalogos!$F$6,J169)=0),"Moneda de factura inválida. ","")&amp;IF(AND(K169&lt;&gt;"",K169&lt;=0),"Monto de factura inválido. ","")&amp;IF(AND(L169&lt;&gt;"",L169&lt;=0),"Tipo de cambio inválido. ","")))</f>
        <v/>
      </c>
    </row>
    <row r="170" ht="22" customHeight="1">
      <c r="A170" s="17" t="str">
        <f t="shared" si="8"/>
        <v/>
      </c>
      <c r="B170" s="18"/>
      <c r="C170" s="18"/>
      <c r="D170" s="18"/>
      <c r="E170" s="19"/>
      <c r="F170" s="18"/>
      <c r="G170" s="18"/>
      <c r="H170" s="20"/>
      <c r="I170" s="21"/>
      <c r="J170" s="22"/>
      <c r="K170" s="21"/>
      <c r="L170" s="23"/>
      <c r="M170" s="19"/>
      <c r="N170" s="18"/>
      <c r="O170" s="24" t="str">
        <f t="shared" si="9"/>
        <v/>
      </c>
      <c r="P170" s="25" t="str">
        <f>IF(COUNTA(B170:N170)=0,"",TRIM(IF(B170="","Falta categoría. ","")&amp;IF(AND(B170&lt;&gt;"",COUNTIF(Catalogos!$B$6:$B$12,B170)=0),"Categoría inválida. ","")&amp;IF(C170="","Falta centro de costo. ","")&amp;IF(D170="","Falta partida. ","")&amp;IF(E170="","Falta fecha. ","")&amp;IF(F170="","Falta concepto. ","")&amp;IF(G170="","Falta proveedor. ","")&amp;IF(I170="","Falta monto. ","")&amp;IF(AND(I170&lt;&gt;"",I170&lt;=0),"Monto inválido. ","")&amp;IF(AND(COUNTA(J170:M170)&gt;0,OR(J170="",K170="",L170="",M170="")),"Completa los 4 campos de moneda extranjera. ","")&amp;IF(AND(J170&lt;&gt;"",COUNTIF(Catalogos!$F$6,J170)=0),"Moneda de factura inválida. ","")&amp;IF(AND(K170&lt;&gt;"",K170&lt;=0),"Monto de factura inválido. ","")&amp;IF(AND(L170&lt;&gt;"",L170&lt;=0),"Tipo de cambio inválido. ","")))</f>
        <v/>
      </c>
    </row>
    <row r="171" ht="22" customHeight="1">
      <c r="A171" s="17" t="str">
        <f t="shared" si="8"/>
        <v/>
      </c>
      <c r="B171" s="18"/>
      <c r="C171" s="18"/>
      <c r="D171" s="18"/>
      <c r="E171" s="19"/>
      <c r="F171" s="18"/>
      <c r="G171" s="18"/>
      <c r="H171" s="20"/>
      <c r="I171" s="21"/>
      <c r="J171" s="22"/>
      <c r="K171" s="21"/>
      <c r="L171" s="23"/>
      <c r="M171" s="19"/>
      <c r="N171" s="18"/>
      <c r="O171" s="24" t="str">
        <f t="shared" si="9"/>
        <v/>
      </c>
      <c r="P171" s="25" t="str">
        <f>IF(COUNTA(B171:N171)=0,"",TRIM(IF(B171="","Falta categoría. ","")&amp;IF(AND(B171&lt;&gt;"",COUNTIF(Catalogos!$B$6:$B$12,B171)=0),"Categoría inválida. ","")&amp;IF(C171="","Falta centro de costo. ","")&amp;IF(D171="","Falta partida. ","")&amp;IF(E171="","Falta fecha. ","")&amp;IF(F171="","Falta concepto. ","")&amp;IF(G171="","Falta proveedor. ","")&amp;IF(I171="","Falta monto. ","")&amp;IF(AND(I171&lt;&gt;"",I171&lt;=0),"Monto inválido. ","")&amp;IF(AND(COUNTA(J171:M171)&gt;0,OR(J171="",K171="",L171="",M171="")),"Completa los 4 campos de moneda extranjera. ","")&amp;IF(AND(J171&lt;&gt;"",COUNTIF(Catalogos!$F$6,J171)=0),"Moneda de factura inválida. ","")&amp;IF(AND(K171&lt;&gt;"",K171&lt;=0),"Monto de factura inválido. ","")&amp;IF(AND(L171&lt;&gt;"",L171&lt;=0),"Tipo de cambio inválido. ","")))</f>
        <v/>
      </c>
    </row>
    <row r="172" ht="22" customHeight="1">
      <c r="A172" s="17" t="str">
        <f t="shared" si="8"/>
        <v/>
      </c>
      <c r="B172" s="18"/>
      <c r="C172" s="18"/>
      <c r="D172" s="18"/>
      <c r="E172" s="19"/>
      <c r="F172" s="18"/>
      <c r="G172" s="18"/>
      <c r="H172" s="20"/>
      <c r="I172" s="21"/>
      <c r="J172" s="22"/>
      <c r="K172" s="21"/>
      <c r="L172" s="23"/>
      <c r="M172" s="19"/>
      <c r="N172" s="18"/>
      <c r="O172" s="24" t="str">
        <f t="shared" si="9"/>
        <v/>
      </c>
      <c r="P172" s="25" t="str">
        <f>IF(COUNTA(B172:N172)=0,"",TRIM(IF(B172="","Falta categoría. ","")&amp;IF(AND(B172&lt;&gt;"",COUNTIF(Catalogos!$B$6:$B$12,B172)=0),"Categoría inválida. ","")&amp;IF(C172="","Falta centro de costo. ","")&amp;IF(D172="","Falta partida. ","")&amp;IF(E172="","Falta fecha. ","")&amp;IF(F172="","Falta concepto. ","")&amp;IF(G172="","Falta proveedor. ","")&amp;IF(I172="","Falta monto. ","")&amp;IF(AND(I172&lt;&gt;"",I172&lt;=0),"Monto inválido. ","")&amp;IF(AND(COUNTA(J172:M172)&gt;0,OR(J172="",K172="",L172="",M172="")),"Completa los 4 campos de moneda extranjera. ","")&amp;IF(AND(J172&lt;&gt;"",COUNTIF(Catalogos!$F$6,J172)=0),"Moneda de factura inválida. ","")&amp;IF(AND(K172&lt;&gt;"",K172&lt;=0),"Monto de factura inválido. ","")&amp;IF(AND(L172&lt;&gt;"",L172&lt;=0),"Tipo de cambio inválido. ","")))</f>
        <v/>
      </c>
    </row>
    <row r="173" ht="22" customHeight="1">
      <c r="A173" s="17" t="str">
        <f t="shared" si="8"/>
        <v/>
      </c>
      <c r="B173" s="18"/>
      <c r="C173" s="18"/>
      <c r="D173" s="18"/>
      <c r="E173" s="19"/>
      <c r="F173" s="18"/>
      <c r="G173" s="18"/>
      <c r="H173" s="20"/>
      <c r="I173" s="21"/>
      <c r="J173" s="22"/>
      <c r="K173" s="21"/>
      <c r="L173" s="23"/>
      <c r="M173" s="19"/>
      <c r="N173" s="18"/>
      <c r="O173" s="24" t="str">
        <f t="shared" si="9"/>
        <v/>
      </c>
      <c r="P173" s="25" t="str">
        <f>IF(COUNTA(B173:N173)=0,"",TRIM(IF(B173="","Falta categoría. ","")&amp;IF(AND(B173&lt;&gt;"",COUNTIF(Catalogos!$B$6:$B$12,B173)=0),"Categoría inválida. ","")&amp;IF(C173="","Falta centro de costo. ","")&amp;IF(D173="","Falta partida. ","")&amp;IF(E173="","Falta fecha. ","")&amp;IF(F173="","Falta concepto. ","")&amp;IF(G173="","Falta proveedor. ","")&amp;IF(I173="","Falta monto. ","")&amp;IF(AND(I173&lt;&gt;"",I173&lt;=0),"Monto inválido. ","")&amp;IF(AND(COUNTA(J173:M173)&gt;0,OR(J173="",K173="",L173="",M173="")),"Completa los 4 campos de moneda extranjera. ","")&amp;IF(AND(J173&lt;&gt;"",COUNTIF(Catalogos!$F$6,J173)=0),"Moneda de factura inválida. ","")&amp;IF(AND(K173&lt;&gt;"",K173&lt;=0),"Monto de factura inválido. ","")&amp;IF(AND(L173&lt;&gt;"",L173&lt;=0),"Tipo de cambio inválido. ","")))</f>
        <v/>
      </c>
    </row>
    <row r="174" ht="22" customHeight="1">
      <c r="A174" s="17" t="str">
        <f t="shared" si="8"/>
        <v/>
      </c>
      <c r="B174" s="18"/>
      <c r="C174" s="18"/>
      <c r="D174" s="18"/>
      <c r="E174" s="19"/>
      <c r="F174" s="18"/>
      <c r="G174" s="18"/>
      <c r="H174" s="20"/>
      <c r="I174" s="21"/>
      <c r="J174" s="22"/>
      <c r="K174" s="21"/>
      <c r="L174" s="23"/>
      <c r="M174" s="19"/>
      <c r="N174" s="18"/>
      <c r="O174" s="24" t="str">
        <f t="shared" si="9"/>
        <v/>
      </c>
      <c r="P174" s="25" t="str">
        <f>IF(COUNTA(B174:N174)=0,"",TRIM(IF(B174="","Falta categoría. ","")&amp;IF(AND(B174&lt;&gt;"",COUNTIF(Catalogos!$B$6:$B$12,B174)=0),"Categoría inválida. ","")&amp;IF(C174="","Falta centro de costo. ","")&amp;IF(D174="","Falta partida. ","")&amp;IF(E174="","Falta fecha. ","")&amp;IF(F174="","Falta concepto. ","")&amp;IF(G174="","Falta proveedor. ","")&amp;IF(I174="","Falta monto. ","")&amp;IF(AND(I174&lt;&gt;"",I174&lt;=0),"Monto inválido. ","")&amp;IF(AND(COUNTA(J174:M174)&gt;0,OR(J174="",K174="",L174="",M174="")),"Completa los 4 campos de moneda extranjera. ","")&amp;IF(AND(J174&lt;&gt;"",COUNTIF(Catalogos!$F$6,J174)=0),"Moneda de factura inválida. ","")&amp;IF(AND(K174&lt;&gt;"",K174&lt;=0),"Monto de factura inválido. ","")&amp;IF(AND(L174&lt;&gt;"",L174&lt;=0),"Tipo de cambio inválido. ","")))</f>
        <v/>
      </c>
    </row>
    <row r="175" ht="22" customHeight="1">
      <c r="A175" s="17" t="str">
        <f t="shared" si="8"/>
        <v/>
      </c>
      <c r="B175" s="18"/>
      <c r="C175" s="18"/>
      <c r="D175" s="18"/>
      <c r="E175" s="19"/>
      <c r="F175" s="18"/>
      <c r="G175" s="18"/>
      <c r="H175" s="20"/>
      <c r="I175" s="21"/>
      <c r="J175" s="22"/>
      <c r="K175" s="21"/>
      <c r="L175" s="23"/>
      <c r="M175" s="19"/>
      <c r="N175" s="18"/>
      <c r="O175" s="24" t="str">
        <f t="shared" si="9"/>
        <v/>
      </c>
      <c r="P175" s="25" t="str">
        <f>IF(COUNTA(B175:N175)=0,"",TRIM(IF(B175="","Falta categoría. ","")&amp;IF(AND(B175&lt;&gt;"",COUNTIF(Catalogos!$B$6:$B$12,B175)=0),"Categoría inválida. ","")&amp;IF(C175="","Falta centro de costo. ","")&amp;IF(D175="","Falta partida. ","")&amp;IF(E175="","Falta fecha. ","")&amp;IF(F175="","Falta concepto. ","")&amp;IF(G175="","Falta proveedor. ","")&amp;IF(I175="","Falta monto. ","")&amp;IF(AND(I175&lt;&gt;"",I175&lt;=0),"Monto inválido. ","")&amp;IF(AND(COUNTA(J175:M175)&gt;0,OR(J175="",K175="",L175="",M175="")),"Completa los 4 campos de moneda extranjera. ","")&amp;IF(AND(J175&lt;&gt;"",COUNTIF(Catalogos!$F$6,J175)=0),"Moneda de factura inválida. ","")&amp;IF(AND(K175&lt;&gt;"",K175&lt;=0),"Monto de factura inválido. ","")&amp;IF(AND(L175&lt;&gt;"",L175&lt;=0),"Tipo de cambio inválido. ","")))</f>
        <v/>
      </c>
    </row>
    <row r="176" ht="22" customHeight="1">
      <c r="A176" s="17" t="str">
        <f t="shared" si="8"/>
        <v/>
      </c>
      <c r="B176" s="18"/>
      <c r="C176" s="18"/>
      <c r="D176" s="18"/>
      <c r="E176" s="19"/>
      <c r="F176" s="18"/>
      <c r="G176" s="18"/>
      <c r="H176" s="20"/>
      <c r="I176" s="21"/>
      <c r="J176" s="22"/>
      <c r="K176" s="21"/>
      <c r="L176" s="23"/>
      <c r="M176" s="19"/>
      <c r="N176" s="18"/>
      <c r="O176" s="24" t="str">
        <f t="shared" si="9"/>
        <v/>
      </c>
      <c r="P176" s="25" t="str">
        <f>IF(COUNTA(B176:N176)=0,"",TRIM(IF(B176="","Falta categoría. ","")&amp;IF(AND(B176&lt;&gt;"",COUNTIF(Catalogos!$B$6:$B$12,B176)=0),"Categoría inválida. ","")&amp;IF(C176="","Falta centro de costo. ","")&amp;IF(D176="","Falta partida. ","")&amp;IF(E176="","Falta fecha. ","")&amp;IF(F176="","Falta concepto. ","")&amp;IF(G176="","Falta proveedor. ","")&amp;IF(I176="","Falta monto. ","")&amp;IF(AND(I176&lt;&gt;"",I176&lt;=0),"Monto inválido. ","")&amp;IF(AND(COUNTA(J176:M176)&gt;0,OR(J176="",K176="",L176="",M176="")),"Completa los 4 campos de moneda extranjera. ","")&amp;IF(AND(J176&lt;&gt;"",COUNTIF(Catalogos!$F$6,J176)=0),"Moneda de factura inválida. ","")&amp;IF(AND(K176&lt;&gt;"",K176&lt;=0),"Monto de factura inválido. ","")&amp;IF(AND(L176&lt;&gt;"",L176&lt;=0),"Tipo de cambio inválido. ","")))</f>
        <v/>
      </c>
    </row>
    <row r="177" ht="22" customHeight="1">
      <c r="A177" s="17" t="str">
        <f t="shared" si="8"/>
        <v/>
      </c>
      <c r="B177" s="18"/>
      <c r="C177" s="18"/>
      <c r="D177" s="18"/>
      <c r="E177" s="19"/>
      <c r="F177" s="18"/>
      <c r="G177" s="18"/>
      <c r="H177" s="20"/>
      <c r="I177" s="21"/>
      <c r="J177" s="22"/>
      <c r="K177" s="21"/>
      <c r="L177" s="23"/>
      <c r="M177" s="19"/>
      <c r="N177" s="18"/>
      <c r="O177" s="24" t="str">
        <f t="shared" si="9"/>
        <v/>
      </c>
      <c r="P177" s="25" t="str">
        <f>IF(COUNTA(B177:N177)=0,"",TRIM(IF(B177="","Falta categoría. ","")&amp;IF(AND(B177&lt;&gt;"",COUNTIF(Catalogos!$B$6:$B$12,B177)=0),"Categoría inválida. ","")&amp;IF(C177="","Falta centro de costo. ","")&amp;IF(D177="","Falta partida. ","")&amp;IF(E177="","Falta fecha. ","")&amp;IF(F177="","Falta concepto. ","")&amp;IF(G177="","Falta proveedor. ","")&amp;IF(I177="","Falta monto. ","")&amp;IF(AND(I177&lt;&gt;"",I177&lt;=0),"Monto inválido. ","")&amp;IF(AND(COUNTA(J177:M177)&gt;0,OR(J177="",K177="",L177="",M177="")),"Completa los 4 campos de moneda extranjera. ","")&amp;IF(AND(J177&lt;&gt;"",COUNTIF(Catalogos!$F$6,J177)=0),"Moneda de factura inválida. ","")&amp;IF(AND(K177&lt;&gt;"",K177&lt;=0),"Monto de factura inválido. ","")&amp;IF(AND(L177&lt;&gt;"",L177&lt;=0),"Tipo de cambio inválido. ","")))</f>
        <v/>
      </c>
    </row>
    <row r="178" ht="22" customHeight="1">
      <c r="A178" s="17" t="str">
        <f t="shared" si="8"/>
        <v/>
      </c>
      <c r="B178" s="18"/>
      <c r="C178" s="18"/>
      <c r="D178" s="18"/>
      <c r="E178" s="19"/>
      <c r="F178" s="18"/>
      <c r="G178" s="18"/>
      <c r="H178" s="20"/>
      <c r="I178" s="21"/>
      <c r="J178" s="22"/>
      <c r="K178" s="21"/>
      <c r="L178" s="23"/>
      <c r="M178" s="19"/>
      <c r="N178" s="18"/>
      <c r="O178" s="24" t="str">
        <f t="shared" si="9"/>
        <v/>
      </c>
      <c r="P178" s="25" t="str">
        <f>IF(COUNTA(B178:N178)=0,"",TRIM(IF(B178="","Falta categoría. ","")&amp;IF(AND(B178&lt;&gt;"",COUNTIF(Catalogos!$B$6:$B$12,B178)=0),"Categoría inválida. ","")&amp;IF(C178="","Falta centro de costo. ","")&amp;IF(D178="","Falta partida. ","")&amp;IF(E178="","Falta fecha. ","")&amp;IF(F178="","Falta concepto. ","")&amp;IF(G178="","Falta proveedor. ","")&amp;IF(I178="","Falta monto. ","")&amp;IF(AND(I178&lt;&gt;"",I178&lt;=0),"Monto inválido. ","")&amp;IF(AND(COUNTA(J178:M178)&gt;0,OR(J178="",K178="",L178="",M178="")),"Completa los 4 campos de moneda extranjera. ","")&amp;IF(AND(J178&lt;&gt;"",COUNTIF(Catalogos!$F$6,J178)=0),"Moneda de factura inválida. ","")&amp;IF(AND(K178&lt;&gt;"",K178&lt;=0),"Monto de factura inválido. ","")&amp;IF(AND(L178&lt;&gt;"",L178&lt;=0),"Tipo de cambio inválido. ","")))</f>
        <v/>
      </c>
    </row>
    <row r="179" ht="22" customHeight="1">
      <c r="A179" s="17" t="str">
        <f t="shared" si="8"/>
        <v/>
      </c>
      <c r="B179" s="18"/>
      <c r="C179" s="18"/>
      <c r="D179" s="18"/>
      <c r="E179" s="19"/>
      <c r="F179" s="18"/>
      <c r="G179" s="18"/>
      <c r="H179" s="20"/>
      <c r="I179" s="21"/>
      <c r="J179" s="22"/>
      <c r="K179" s="21"/>
      <c r="L179" s="23"/>
      <c r="M179" s="19"/>
      <c r="N179" s="18"/>
      <c r="O179" s="24" t="str">
        <f t="shared" si="9"/>
        <v/>
      </c>
      <c r="P179" s="25" t="str">
        <f>IF(COUNTA(B179:N179)=0,"",TRIM(IF(B179="","Falta categoría. ","")&amp;IF(AND(B179&lt;&gt;"",COUNTIF(Catalogos!$B$6:$B$12,B179)=0),"Categoría inválida. ","")&amp;IF(C179="","Falta centro de costo. ","")&amp;IF(D179="","Falta partida. ","")&amp;IF(E179="","Falta fecha. ","")&amp;IF(F179="","Falta concepto. ","")&amp;IF(G179="","Falta proveedor. ","")&amp;IF(I179="","Falta monto. ","")&amp;IF(AND(I179&lt;&gt;"",I179&lt;=0),"Monto inválido. ","")&amp;IF(AND(COUNTA(J179:M179)&gt;0,OR(J179="",K179="",L179="",M179="")),"Completa los 4 campos de moneda extranjera. ","")&amp;IF(AND(J179&lt;&gt;"",COUNTIF(Catalogos!$F$6,J179)=0),"Moneda de factura inválida. ","")&amp;IF(AND(K179&lt;&gt;"",K179&lt;=0),"Monto de factura inválido. ","")&amp;IF(AND(L179&lt;&gt;"",L179&lt;=0),"Tipo de cambio inválido. ","")))</f>
        <v/>
      </c>
    </row>
    <row r="180" ht="22" customHeight="1">
      <c r="A180" s="17" t="str">
        <f t="shared" si="8"/>
        <v/>
      </c>
      <c r="B180" s="18"/>
      <c r="C180" s="18"/>
      <c r="D180" s="18"/>
      <c r="E180" s="19"/>
      <c r="F180" s="18"/>
      <c r="G180" s="18"/>
      <c r="H180" s="20"/>
      <c r="I180" s="21"/>
      <c r="J180" s="22"/>
      <c r="K180" s="21"/>
      <c r="L180" s="23"/>
      <c r="M180" s="19"/>
      <c r="N180" s="18"/>
      <c r="O180" s="24" t="str">
        <f t="shared" si="9"/>
        <v/>
      </c>
      <c r="P180" s="25" t="str">
        <f>IF(COUNTA(B180:N180)=0,"",TRIM(IF(B180="","Falta categoría. ","")&amp;IF(AND(B180&lt;&gt;"",COUNTIF(Catalogos!$B$6:$B$12,B180)=0),"Categoría inválida. ","")&amp;IF(C180="","Falta centro de costo. ","")&amp;IF(D180="","Falta partida. ","")&amp;IF(E180="","Falta fecha. ","")&amp;IF(F180="","Falta concepto. ","")&amp;IF(G180="","Falta proveedor. ","")&amp;IF(I180="","Falta monto. ","")&amp;IF(AND(I180&lt;&gt;"",I180&lt;=0),"Monto inválido. ","")&amp;IF(AND(COUNTA(J180:M180)&gt;0,OR(J180="",K180="",L180="",M180="")),"Completa los 4 campos de moneda extranjera. ","")&amp;IF(AND(J180&lt;&gt;"",COUNTIF(Catalogos!$F$6,J180)=0),"Moneda de factura inválida. ","")&amp;IF(AND(K180&lt;&gt;"",K180&lt;=0),"Monto de factura inválido. ","")&amp;IF(AND(L180&lt;&gt;"",L180&lt;=0),"Tipo de cambio inválido. ","")))</f>
        <v/>
      </c>
    </row>
    <row r="181" ht="22" customHeight="1">
      <c r="A181" s="17" t="str">
        <f t="shared" si="8"/>
        <v/>
      </c>
      <c r="B181" s="18"/>
      <c r="C181" s="18"/>
      <c r="D181" s="18"/>
      <c r="E181" s="19"/>
      <c r="F181" s="18"/>
      <c r="G181" s="18"/>
      <c r="H181" s="20"/>
      <c r="I181" s="21"/>
      <c r="J181" s="22"/>
      <c r="K181" s="21"/>
      <c r="L181" s="23"/>
      <c r="M181" s="19"/>
      <c r="N181" s="18"/>
      <c r="O181" s="24" t="str">
        <f t="shared" si="9"/>
        <v/>
      </c>
      <c r="P181" s="25" t="str">
        <f>IF(COUNTA(B181:N181)=0,"",TRIM(IF(B181="","Falta categoría. ","")&amp;IF(AND(B181&lt;&gt;"",COUNTIF(Catalogos!$B$6:$B$12,B181)=0),"Categoría inválida. ","")&amp;IF(C181="","Falta centro de costo. ","")&amp;IF(D181="","Falta partida. ","")&amp;IF(E181="","Falta fecha. ","")&amp;IF(F181="","Falta concepto. ","")&amp;IF(G181="","Falta proveedor. ","")&amp;IF(I181="","Falta monto. ","")&amp;IF(AND(I181&lt;&gt;"",I181&lt;=0),"Monto inválido. ","")&amp;IF(AND(COUNTA(J181:M181)&gt;0,OR(J181="",K181="",L181="",M181="")),"Completa los 4 campos de moneda extranjera. ","")&amp;IF(AND(J181&lt;&gt;"",COUNTIF(Catalogos!$F$6,J181)=0),"Moneda de factura inválida. ","")&amp;IF(AND(K181&lt;&gt;"",K181&lt;=0),"Monto de factura inválido. ","")&amp;IF(AND(L181&lt;&gt;"",L181&lt;=0),"Tipo de cambio inválido. ","")))</f>
        <v/>
      </c>
    </row>
    <row r="182" ht="22" customHeight="1">
      <c r="A182" s="17" t="str">
        <f t="shared" si="8"/>
        <v/>
      </c>
      <c r="B182" s="18"/>
      <c r="C182" s="18"/>
      <c r="D182" s="18"/>
      <c r="E182" s="19"/>
      <c r="F182" s="18"/>
      <c r="G182" s="18"/>
      <c r="H182" s="20"/>
      <c r="I182" s="21"/>
      <c r="J182" s="22"/>
      <c r="K182" s="21"/>
      <c r="L182" s="23"/>
      <c r="M182" s="19"/>
      <c r="N182" s="18"/>
      <c r="O182" s="24" t="str">
        <f t="shared" si="9"/>
        <v/>
      </c>
      <c r="P182" s="25" t="str">
        <f>IF(COUNTA(B182:N182)=0,"",TRIM(IF(B182="","Falta categoría. ","")&amp;IF(AND(B182&lt;&gt;"",COUNTIF(Catalogos!$B$6:$B$12,B182)=0),"Categoría inválida. ","")&amp;IF(C182="","Falta centro de costo. ","")&amp;IF(D182="","Falta partida. ","")&amp;IF(E182="","Falta fecha. ","")&amp;IF(F182="","Falta concepto. ","")&amp;IF(G182="","Falta proveedor. ","")&amp;IF(I182="","Falta monto. ","")&amp;IF(AND(I182&lt;&gt;"",I182&lt;=0),"Monto inválido. ","")&amp;IF(AND(COUNTA(J182:M182)&gt;0,OR(J182="",K182="",L182="",M182="")),"Completa los 4 campos de moneda extranjera. ","")&amp;IF(AND(J182&lt;&gt;"",COUNTIF(Catalogos!$F$6,J182)=0),"Moneda de factura inválida. ","")&amp;IF(AND(K182&lt;&gt;"",K182&lt;=0),"Monto de factura inválido. ","")&amp;IF(AND(L182&lt;&gt;"",L182&lt;=0),"Tipo de cambio inválido. ","")))</f>
        <v/>
      </c>
    </row>
    <row r="183" ht="22" customHeight="1">
      <c r="A183" s="17" t="str">
        <f t="shared" si="8"/>
        <v/>
      </c>
      <c r="B183" s="18"/>
      <c r="C183" s="18"/>
      <c r="D183" s="18"/>
      <c r="E183" s="19"/>
      <c r="F183" s="18"/>
      <c r="G183" s="18"/>
      <c r="H183" s="20"/>
      <c r="I183" s="21"/>
      <c r="J183" s="22"/>
      <c r="K183" s="21"/>
      <c r="L183" s="23"/>
      <c r="M183" s="19"/>
      <c r="N183" s="18"/>
      <c r="O183" s="24" t="str">
        <f t="shared" si="9"/>
        <v/>
      </c>
      <c r="P183" s="25" t="str">
        <f>IF(COUNTA(B183:N183)=0,"",TRIM(IF(B183="","Falta categoría. ","")&amp;IF(AND(B183&lt;&gt;"",COUNTIF(Catalogos!$B$6:$B$12,B183)=0),"Categoría inválida. ","")&amp;IF(C183="","Falta centro de costo. ","")&amp;IF(D183="","Falta partida. ","")&amp;IF(E183="","Falta fecha. ","")&amp;IF(F183="","Falta concepto. ","")&amp;IF(G183="","Falta proveedor. ","")&amp;IF(I183="","Falta monto. ","")&amp;IF(AND(I183&lt;&gt;"",I183&lt;=0),"Monto inválido. ","")&amp;IF(AND(COUNTA(J183:M183)&gt;0,OR(J183="",K183="",L183="",M183="")),"Completa los 4 campos de moneda extranjera. ","")&amp;IF(AND(J183&lt;&gt;"",COUNTIF(Catalogos!$F$6,J183)=0),"Moneda de factura inválida. ","")&amp;IF(AND(K183&lt;&gt;"",K183&lt;=0),"Monto de factura inválido. ","")&amp;IF(AND(L183&lt;&gt;"",L183&lt;=0),"Tipo de cambio inválido. ","")))</f>
        <v/>
      </c>
    </row>
    <row r="184" ht="22" customHeight="1">
      <c r="A184" s="17" t="str">
        <f t="shared" si="8"/>
        <v/>
      </c>
      <c r="B184" s="18"/>
      <c r="C184" s="18"/>
      <c r="D184" s="18"/>
      <c r="E184" s="19"/>
      <c r="F184" s="18"/>
      <c r="G184" s="18"/>
      <c r="H184" s="20"/>
      <c r="I184" s="21"/>
      <c r="J184" s="22"/>
      <c r="K184" s="21"/>
      <c r="L184" s="23"/>
      <c r="M184" s="19"/>
      <c r="N184" s="18"/>
      <c r="O184" s="24" t="str">
        <f t="shared" si="9"/>
        <v/>
      </c>
      <c r="P184" s="25" t="str">
        <f>IF(COUNTA(B184:N184)=0,"",TRIM(IF(B184="","Falta categoría. ","")&amp;IF(AND(B184&lt;&gt;"",COUNTIF(Catalogos!$B$6:$B$12,B184)=0),"Categoría inválida. ","")&amp;IF(C184="","Falta centro de costo. ","")&amp;IF(D184="","Falta partida. ","")&amp;IF(E184="","Falta fecha. ","")&amp;IF(F184="","Falta concepto. ","")&amp;IF(G184="","Falta proveedor. ","")&amp;IF(I184="","Falta monto. ","")&amp;IF(AND(I184&lt;&gt;"",I184&lt;=0),"Monto inválido. ","")&amp;IF(AND(COUNTA(J184:M184)&gt;0,OR(J184="",K184="",L184="",M184="")),"Completa los 4 campos de moneda extranjera. ","")&amp;IF(AND(J184&lt;&gt;"",COUNTIF(Catalogos!$F$6,J184)=0),"Moneda de factura inválida. ","")&amp;IF(AND(K184&lt;&gt;"",K184&lt;=0),"Monto de factura inválido. ","")&amp;IF(AND(L184&lt;&gt;"",L184&lt;=0),"Tipo de cambio inválido. ","")))</f>
        <v/>
      </c>
    </row>
    <row r="185" ht="22" customHeight="1">
      <c r="A185" s="17" t="str">
        <f t="shared" si="8"/>
        <v/>
      </c>
      <c r="B185" s="18"/>
      <c r="C185" s="18"/>
      <c r="D185" s="18"/>
      <c r="E185" s="19"/>
      <c r="F185" s="18"/>
      <c r="G185" s="18"/>
      <c r="H185" s="20"/>
      <c r="I185" s="21"/>
      <c r="J185" s="22"/>
      <c r="K185" s="21"/>
      <c r="L185" s="23"/>
      <c r="M185" s="19"/>
      <c r="N185" s="18"/>
      <c r="O185" s="24" t="str">
        <f t="shared" si="9"/>
        <v/>
      </c>
      <c r="P185" s="25" t="str">
        <f>IF(COUNTA(B185:N185)=0,"",TRIM(IF(B185="","Falta categoría. ","")&amp;IF(AND(B185&lt;&gt;"",COUNTIF(Catalogos!$B$6:$B$12,B185)=0),"Categoría inválida. ","")&amp;IF(C185="","Falta centro de costo. ","")&amp;IF(D185="","Falta partida. ","")&amp;IF(E185="","Falta fecha. ","")&amp;IF(F185="","Falta concepto. ","")&amp;IF(G185="","Falta proveedor. ","")&amp;IF(I185="","Falta monto. ","")&amp;IF(AND(I185&lt;&gt;"",I185&lt;=0),"Monto inválido. ","")&amp;IF(AND(COUNTA(J185:M185)&gt;0,OR(J185="",K185="",L185="",M185="")),"Completa los 4 campos de moneda extranjera. ","")&amp;IF(AND(J185&lt;&gt;"",COUNTIF(Catalogos!$F$6,J185)=0),"Moneda de factura inválida. ","")&amp;IF(AND(K185&lt;&gt;"",K185&lt;=0),"Monto de factura inválido. ","")&amp;IF(AND(L185&lt;&gt;"",L185&lt;=0),"Tipo de cambio inválido. ","")))</f>
        <v/>
      </c>
    </row>
    <row r="186" ht="22" customHeight="1">
      <c r="A186" s="17" t="str">
        <f t="shared" si="8"/>
        <v/>
      </c>
      <c r="B186" s="18"/>
      <c r="C186" s="18"/>
      <c r="D186" s="18"/>
      <c r="E186" s="19"/>
      <c r="F186" s="18"/>
      <c r="G186" s="18"/>
      <c r="H186" s="20"/>
      <c r="I186" s="21"/>
      <c r="J186" s="22"/>
      <c r="K186" s="21"/>
      <c r="L186" s="23"/>
      <c r="M186" s="19"/>
      <c r="N186" s="18"/>
      <c r="O186" s="24" t="str">
        <f t="shared" si="9"/>
        <v/>
      </c>
      <c r="P186" s="25" t="str">
        <f>IF(COUNTA(B186:N186)=0,"",TRIM(IF(B186="","Falta categoría. ","")&amp;IF(AND(B186&lt;&gt;"",COUNTIF(Catalogos!$B$6:$B$12,B186)=0),"Categoría inválida. ","")&amp;IF(C186="","Falta centro de costo. ","")&amp;IF(D186="","Falta partida. ","")&amp;IF(E186="","Falta fecha. ","")&amp;IF(F186="","Falta concepto. ","")&amp;IF(G186="","Falta proveedor. ","")&amp;IF(I186="","Falta monto. ","")&amp;IF(AND(I186&lt;&gt;"",I186&lt;=0),"Monto inválido. ","")&amp;IF(AND(COUNTA(J186:M186)&gt;0,OR(J186="",K186="",L186="",M186="")),"Completa los 4 campos de moneda extranjera. ","")&amp;IF(AND(J186&lt;&gt;"",COUNTIF(Catalogos!$F$6,J186)=0),"Moneda de factura inválida. ","")&amp;IF(AND(K186&lt;&gt;"",K186&lt;=0),"Monto de factura inválido. ","")&amp;IF(AND(L186&lt;&gt;"",L186&lt;=0),"Tipo de cambio inválido. ","")))</f>
        <v/>
      </c>
    </row>
    <row r="187" ht="22" customHeight="1">
      <c r="A187" s="17" t="str">
        <f t="shared" si="8"/>
        <v/>
      </c>
      <c r="B187" s="18"/>
      <c r="C187" s="18"/>
      <c r="D187" s="18"/>
      <c r="E187" s="19"/>
      <c r="F187" s="18"/>
      <c r="G187" s="18"/>
      <c r="H187" s="20"/>
      <c r="I187" s="21"/>
      <c r="J187" s="22"/>
      <c r="K187" s="21"/>
      <c r="L187" s="23"/>
      <c r="M187" s="19"/>
      <c r="N187" s="18"/>
      <c r="O187" s="24" t="str">
        <f t="shared" si="9"/>
        <v/>
      </c>
      <c r="P187" s="25" t="str">
        <f>IF(COUNTA(B187:N187)=0,"",TRIM(IF(B187="","Falta categoría. ","")&amp;IF(AND(B187&lt;&gt;"",COUNTIF(Catalogos!$B$6:$B$12,B187)=0),"Categoría inválida. ","")&amp;IF(C187="","Falta centro de costo. ","")&amp;IF(D187="","Falta partida. ","")&amp;IF(E187="","Falta fecha. ","")&amp;IF(F187="","Falta concepto. ","")&amp;IF(G187="","Falta proveedor. ","")&amp;IF(I187="","Falta monto. ","")&amp;IF(AND(I187&lt;&gt;"",I187&lt;=0),"Monto inválido. ","")&amp;IF(AND(COUNTA(J187:M187)&gt;0,OR(J187="",K187="",L187="",M187="")),"Completa los 4 campos de moneda extranjera. ","")&amp;IF(AND(J187&lt;&gt;"",COUNTIF(Catalogos!$F$6,J187)=0),"Moneda de factura inválida. ","")&amp;IF(AND(K187&lt;&gt;"",K187&lt;=0),"Monto de factura inválido. ","")&amp;IF(AND(L187&lt;&gt;"",L187&lt;=0),"Tipo de cambio inválido. ","")))</f>
        <v/>
      </c>
    </row>
    <row r="188" ht="22" customHeight="1">
      <c r="A188" s="17" t="str">
        <f t="shared" si="8"/>
        <v/>
      </c>
      <c r="B188" s="18"/>
      <c r="C188" s="18"/>
      <c r="D188" s="18"/>
      <c r="E188" s="19"/>
      <c r="F188" s="18"/>
      <c r="G188" s="18"/>
      <c r="H188" s="20"/>
      <c r="I188" s="21"/>
      <c r="J188" s="22"/>
      <c r="K188" s="21"/>
      <c r="L188" s="23"/>
      <c r="M188" s="19"/>
      <c r="N188" s="18"/>
      <c r="O188" s="24" t="str">
        <f t="shared" si="9"/>
        <v/>
      </c>
      <c r="P188" s="25" t="str">
        <f>IF(COUNTA(B188:N188)=0,"",TRIM(IF(B188="","Falta categoría. ","")&amp;IF(AND(B188&lt;&gt;"",COUNTIF(Catalogos!$B$6:$B$12,B188)=0),"Categoría inválida. ","")&amp;IF(C188="","Falta centro de costo. ","")&amp;IF(D188="","Falta partida. ","")&amp;IF(E188="","Falta fecha. ","")&amp;IF(F188="","Falta concepto. ","")&amp;IF(G188="","Falta proveedor. ","")&amp;IF(I188="","Falta monto. ","")&amp;IF(AND(I188&lt;&gt;"",I188&lt;=0),"Monto inválido. ","")&amp;IF(AND(COUNTA(J188:M188)&gt;0,OR(J188="",K188="",L188="",M188="")),"Completa los 4 campos de moneda extranjera. ","")&amp;IF(AND(J188&lt;&gt;"",COUNTIF(Catalogos!$F$6,J188)=0),"Moneda de factura inválida. ","")&amp;IF(AND(K188&lt;&gt;"",K188&lt;=0),"Monto de factura inválido. ","")&amp;IF(AND(L188&lt;&gt;"",L188&lt;=0),"Tipo de cambio inválido. ","")))</f>
        <v/>
      </c>
    </row>
    <row r="189" ht="22" customHeight="1">
      <c r="A189" s="17" t="str">
        <f t="shared" si="8"/>
        <v/>
      </c>
      <c r="B189" s="18"/>
      <c r="C189" s="18"/>
      <c r="D189" s="18"/>
      <c r="E189" s="19"/>
      <c r="F189" s="18"/>
      <c r="G189" s="18"/>
      <c r="H189" s="20"/>
      <c r="I189" s="21"/>
      <c r="J189" s="22"/>
      <c r="K189" s="21"/>
      <c r="L189" s="23"/>
      <c r="M189" s="19"/>
      <c r="N189" s="18"/>
      <c r="O189" s="24" t="str">
        <f t="shared" si="9"/>
        <v/>
      </c>
      <c r="P189" s="25" t="str">
        <f>IF(COUNTA(B189:N189)=0,"",TRIM(IF(B189="","Falta categoría. ","")&amp;IF(AND(B189&lt;&gt;"",COUNTIF(Catalogos!$B$6:$B$12,B189)=0),"Categoría inválida. ","")&amp;IF(C189="","Falta centro de costo. ","")&amp;IF(D189="","Falta partida. ","")&amp;IF(E189="","Falta fecha. ","")&amp;IF(F189="","Falta concepto. ","")&amp;IF(G189="","Falta proveedor. ","")&amp;IF(I189="","Falta monto. ","")&amp;IF(AND(I189&lt;&gt;"",I189&lt;=0),"Monto inválido. ","")&amp;IF(AND(COUNTA(J189:M189)&gt;0,OR(J189="",K189="",L189="",M189="")),"Completa los 4 campos de moneda extranjera. ","")&amp;IF(AND(J189&lt;&gt;"",COUNTIF(Catalogos!$F$6,J189)=0),"Moneda de factura inválida. ","")&amp;IF(AND(K189&lt;&gt;"",K189&lt;=0),"Monto de factura inválido. ","")&amp;IF(AND(L189&lt;&gt;"",L189&lt;=0),"Tipo de cambio inválido. ","")))</f>
        <v/>
      </c>
    </row>
    <row r="190" ht="22" customHeight="1">
      <c r="A190" s="17" t="str">
        <f t="shared" si="8"/>
        <v/>
      </c>
      <c r="B190" s="18"/>
      <c r="C190" s="18"/>
      <c r="D190" s="18"/>
      <c r="E190" s="19"/>
      <c r="F190" s="18"/>
      <c r="G190" s="18"/>
      <c r="H190" s="20"/>
      <c r="I190" s="21"/>
      <c r="J190" s="22"/>
      <c r="K190" s="21"/>
      <c r="L190" s="23"/>
      <c r="M190" s="19"/>
      <c r="N190" s="18"/>
      <c r="O190" s="24" t="str">
        <f t="shared" si="9"/>
        <v/>
      </c>
      <c r="P190" s="25" t="str">
        <f>IF(COUNTA(B190:N190)=0,"",TRIM(IF(B190="","Falta categoría. ","")&amp;IF(AND(B190&lt;&gt;"",COUNTIF(Catalogos!$B$6:$B$12,B190)=0),"Categoría inválida. ","")&amp;IF(C190="","Falta centro de costo. ","")&amp;IF(D190="","Falta partida. ","")&amp;IF(E190="","Falta fecha. ","")&amp;IF(F190="","Falta concepto. ","")&amp;IF(G190="","Falta proveedor. ","")&amp;IF(I190="","Falta monto. ","")&amp;IF(AND(I190&lt;&gt;"",I190&lt;=0),"Monto inválido. ","")&amp;IF(AND(COUNTA(J190:M190)&gt;0,OR(J190="",K190="",L190="",M190="")),"Completa los 4 campos de moneda extranjera. ","")&amp;IF(AND(J190&lt;&gt;"",COUNTIF(Catalogos!$F$6,J190)=0),"Moneda de factura inválida. ","")&amp;IF(AND(K190&lt;&gt;"",K190&lt;=0),"Monto de factura inválido. ","")&amp;IF(AND(L190&lt;&gt;"",L190&lt;=0),"Tipo de cambio inválido. ","")))</f>
        <v/>
      </c>
    </row>
    <row r="191" ht="22" customHeight="1">
      <c r="A191" s="17" t="str">
        <f t="shared" si="8"/>
        <v/>
      </c>
      <c r="B191" s="18"/>
      <c r="C191" s="18"/>
      <c r="D191" s="18"/>
      <c r="E191" s="19"/>
      <c r="F191" s="18"/>
      <c r="G191" s="18"/>
      <c r="H191" s="20"/>
      <c r="I191" s="21"/>
      <c r="J191" s="22"/>
      <c r="K191" s="21"/>
      <c r="L191" s="23"/>
      <c r="M191" s="19"/>
      <c r="N191" s="18"/>
      <c r="O191" s="24" t="str">
        <f t="shared" si="9"/>
        <v/>
      </c>
      <c r="P191" s="25" t="str">
        <f>IF(COUNTA(B191:N191)=0,"",TRIM(IF(B191="","Falta categoría. ","")&amp;IF(AND(B191&lt;&gt;"",COUNTIF(Catalogos!$B$6:$B$12,B191)=0),"Categoría inválida. ","")&amp;IF(C191="","Falta centro de costo. ","")&amp;IF(D191="","Falta partida. ","")&amp;IF(E191="","Falta fecha. ","")&amp;IF(F191="","Falta concepto. ","")&amp;IF(G191="","Falta proveedor. ","")&amp;IF(I191="","Falta monto. ","")&amp;IF(AND(I191&lt;&gt;"",I191&lt;=0),"Monto inválido. ","")&amp;IF(AND(COUNTA(J191:M191)&gt;0,OR(J191="",K191="",L191="",M191="")),"Completa los 4 campos de moneda extranjera. ","")&amp;IF(AND(J191&lt;&gt;"",COUNTIF(Catalogos!$F$6,J191)=0),"Moneda de factura inválida. ","")&amp;IF(AND(K191&lt;&gt;"",K191&lt;=0),"Monto de factura inválido. ","")&amp;IF(AND(L191&lt;&gt;"",L191&lt;=0),"Tipo de cambio inválido. ","")))</f>
        <v/>
      </c>
    </row>
    <row r="192" ht="22" customHeight="1">
      <c r="A192" s="17" t="str">
        <f t="shared" si="8"/>
        <v/>
      </c>
      <c r="B192" s="18"/>
      <c r="C192" s="18"/>
      <c r="D192" s="18"/>
      <c r="E192" s="19"/>
      <c r="F192" s="18"/>
      <c r="G192" s="18"/>
      <c r="H192" s="20"/>
      <c r="I192" s="21"/>
      <c r="J192" s="22"/>
      <c r="K192" s="21"/>
      <c r="L192" s="23"/>
      <c r="M192" s="19"/>
      <c r="N192" s="18"/>
      <c r="O192" s="24" t="str">
        <f t="shared" si="9"/>
        <v/>
      </c>
      <c r="P192" s="25" t="str">
        <f>IF(COUNTA(B192:N192)=0,"",TRIM(IF(B192="","Falta categoría. ","")&amp;IF(AND(B192&lt;&gt;"",COUNTIF(Catalogos!$B$6:$B$12,B192)=0),"Categoría inválida. ","")&amp;IF(C192="","Falta centro de costo. ","")&amp;IF(D192="","Falta partida. ","")&amp;IF(E192="","Falta fecha. ","")&amp;IF(F192="","Falta concepto. ","")&amp;IF(G192="","Falta proveedor. ","")&amp;IF(I192="","Falta monto. ","")&amp;IF(AND(I192&lt;&gt;"",I192&lt;=0),"Monto inválido. ","")&amp;IF(AND(COUNTA(J192:M192)&gt;0,OR(J192="",K192="",L192="",M192="")),"Completa los 4 campos de moneda extranjera. ","")&amp;IF(AND(J192&lt;&gt;"",COUNTIF(Catalogos!$F$6,J192)=0),"Moneda de factura inválida. ","")&amp;IF(AND(K192&lt;&gt;"",K192&lt;=0),"Monto de factura inválido. ","")&amp;IF(AND(L192&lt;&gt;"",L192&lt;=0),"Tipo de cambio inválido. ","")))</f>
        <v/>
      </c>
    </row>
    <row r="193" ht="22" customHeight="1">
      <c r="A193" s="17" t="str">
        <f t="shared" si="8"/>
        <v/>
      </c>
      <c r="B193" s="18"/>
      <c r="C193" s="18"/>
      <c r="D193" s="18"/>
      <c r="E193" s="19"/>
      <c r="F193" s="18"/>
      <c r="G193" s="18"/>
      <c r="H193" s="20"/>
      <c r="I193" s="21"/>
      <c r="J193" s="22"/>
      <c r="K193" s="21"/>
      <c r="L193" s="23"/>
      <c r="M193" s="19"/>
      <c r="N193" s="18"/>
      <c r="O193" s="24" t="str">
        <f t="shared" si="9"/>
        <v/>
      </c>
      <c r="P193" s="25" t="str">
        <f>IF(COUNTA(B193:N193)=0,"",TRIM(IF(B193="","Falta categoría. ","")&amp;IF(AND(B193&lt;&gt;"",COUNTIF(Catalogos!$B$6:$B$12,B193)=0),"Categoría inválida. ","")&amp;IF(C193="","Falta centro de costo. ","")&amp;IF(D193="","Falta partida. ","")&amp;IF(E193="","Falta fecha. ","")&amp;IF(F193="","Falta concepto. ","")&amp;IF(G193="","Falta proveedor. ","")&amp;IF(I193="","Falta monto. ","")&amp;IF(AND(I193&lt;&gt;"",I193&lt;=0),"Monto inválido. ","")&amp;IF(AND(COUNTA(J193:M193)&gt;0,OR(J193="",K193="",L193="",M193="")),"Completa los 4 campos de moneda extranjera. ","")&amp;IF(AND(J193&lt;&gt;"",COUNTIF(Catalogos!$F$6,J193)=0),"Moneda de factura inválida. ","")&amp;IF(AND(K193&lt;&gt;"",K193&lt;=0),"Monto de factura inválido. ","")&amp;IF(AND(L193&lt;&gt;"",L193&lt;=0),"Tipo de cambio inválido. ","")))</f>
        <v/>
      </c>
    </row>
    <row r="194" ht="22" customHeight="1">
      <c r="A194" s="17" t="str">
        <f t="shared" si="8"/>
        <v/>
      </c>
      <c r="B194" s="18"/>
      <c r="C194" s="18"/>
      <c r="D194" s="18"/>
      <c r="E194" s="19"/>
      <c r="F194" s="18"/>
      <c r="G194" s="18"/>
      <c r="H194" s="20"/>
      <c r="I194" s="21"/>
      <c r="J194" s="22"/>
      <c r="K194" s="21"/>
      <c r="L194" s="23"/>
      <c r="M194" s="19"/>
      <c r="N194" s="18"/>
      <c r="O194" s="24" t="str">
        <f t="shared" si="9"/>
        <v/>
      </c>
      <c r="P194" s="25" t="str">
        <f>IF(COUNTA(B194:N194)=0,"",TRIM(IF(B194="","Falta categoría. ","")&amp;IF(AND(B194&lt;&gt;"",COUNTIF(Catalogos!$B$6:$B$12,B194)=0),"Categoría inválida. ","")&amp;IF(C194="","Falta centro de costo. ","")&amp;IF(D194="","Falta partida. ","")&amp;IF(E194="","Falta fecha. ","")&amp;IF(F194="","Falta concepto. ","")&amp;IF(G194="","Falta proveedor. ","")&amp;IF(I194="","Falta monto. ","")&amp;IF(AND(I194&lt;&gt;"",I194&lt;=0),"Monto inválido. ","")&amp;IF(AND(COUNTA(J194:M194)&gt;0,OR(J194="",K194="",L194="",M194="")),"Completa los 4 campos de moneda extranjera. ","")&amp;IF(AND(J194&lt;&gt;"",COUNTIF(Catalogos!$F$6,J194)=0),"Moneda de factura inválida. ","")&amp;IF(AND(K194&lt;&gt;"",K194&lt;=0),"Monto de factura inválido. ","")&amp;IF(AND(L194&lt;&gt;"",L194&lt;=0),"Tipo de cambio inválido. ","")))</f>
        <v/>
      </c>
    </row>
    <row r="195" ht="22" customHeight="1">
      <c r="A195" s="17" t="str">
        <f t="shared" si="8"/>
        <v/>
      </c>
      <c r="B195" s="18"/>
      <c r="C195" s="18"/>
      <c r="D195" s="18"/>
      <c r="E195" s="19"/>
      <c r="F195" s="18"/>
      <c r="G195" s="18"/>
      <c r="H195" s="20"/>
      <c r="I195" s="21"/>
      <c r="J195" s="22"/>
      <c r="K195" s="21"/>
      <c r="L195" s="23"/>
      <c r="M195" s="19"/>
      <c r="N195" s="18"/>
      <c r="O195" s="24" t="str">
        <f t="shared" si="9"/>
        <v/>
      </c>
      <c r="P195" s="25" t="str">
        <f>IF(COUNTA(B195:N195)=0,"",TRIM(IF(B195="","Falta categoría. ","")&amp;IF(AND(B195&lt;&gt;"",COUNTIF(Catalogos!$B$6:$B$12,B195)=0),"Categoría inválida. ","")&amp;IF(C195="","Falta centro de costo. ","")&amp;IF(D195="","Falta partida. ","")&amp;IF(E195="","Falta fecha. ","")&amp;IF(F195="","Falta concepto. ","")&amp;IF(G195="","Falta proveedor. ","")&amp;IF(I195="","Falta monto. ","")&amp;IF(AND(I195&lt;&gt;"",I195&lt;=0),"Monto inválido. ","")&amp;IF(AND(COUNTA(J195:M195)&gt;0,OR(J195="",K195="",L195="",M195="")),"Completa los 4 campos de moneda extranjera. ","")&amp;IF(AND(J195&lt;&gt;"",COUNTIF(Catalogos!$F$6,J195)=0),"Moneda de factura inválida. ","")&amp;IF(AND(K195&lt;&gt;"",K195&lt;=0),"Monto de factura inválido. ","")&amp;IF(AND(L195&lt;&gt;"",L195&lt;=0),"Tipo de cambio inválido. ","")))</f>
        <v/>
      </c>
    </row>
    <row r="196" ht="22" customHeight="1">
      <c r="A196" s="17" t="str">
        <f t="shared" si="8"/>
        <v/>
      </c>
      <c r="B196" s="18"/>
      <c r="C196" s="18"/>
      <c r="D196" s="18"/>
      <c r="E196" s="19"/>
      <c r="F196" s="18"/>
      <c r="G196" s="18"/>
      <c r="H196" s="20"/>
      <c r="I196" s="21"/>
      <c r="J196" s="22"/>
      <c r="K196" s="21"/>
      <c r="L196" s="23"/>
      <c r="M196" s="19"/>
      <c r="N196" s="18"/>
      <c r="O196" s="24" t="str">
        <f t="shared" si="9"/>
        <v/>
      </c>
      <c r="P196" s="25" t="str">
        <f>IF(COUNTA(B196:N196)=0,"",TRIM(IF(B196="","Falta categoría. ","")&amp;IF(AND(B196&lt;&gt;"",COUNTIF(Catalogos!$B$6:$B$12,B196)=0),"Categoría inválida. ","")&amp;IF(C196="","Falta centro de costo. ","")&amp;IF(D196="","Falta partida. ","")&amp;IF(E196="","Falta fecha. ","")&amp;IF(F196="","Falta concepto. ","")&amp;IF(G196="","Falta proveedor. ","")&amp;IF(I196="","Falta monto. ","")&amp;IF(AND(I196&lt;&gt;"",I196&lt;=0),"Monto inválido. ","")&amp;IF(AND(COUNTA(J196:M196)&gt;0,OR(J196="",K196="",L196="",M196="")),"Completa los 4 campos de moneda extranjera. ","")&amp;IF(AND(J196&lt;&gt;"",COUNTIF(Catalogos!$F$6,J196)=0),"Moneda de factura inválida. ","")&amp;IF(AND(K196&lt;&gt;"",K196&lt;=0),"Monto de factura inválido. ","")&amp;IF(AND(L196&lt;&gt;"",L196&lt;=0),"Tipo de cambio inválido. ","")))</f>
        <v/>
      </c>
    </row>
    <row r="197" ht="22" customHeight="1">
      <c r="A197" s="17" t="str">
        <f t="shared" si="8"/>
        <v/>
      </c>
      <c r="B197" s="18"/>
      <c r="C197" s="18"/>
      <c r="D197" s="18"/>
      <c r="E197" s="19"/>
      <c r="F197" s="18"/>
      <c r="G197" s="18"/>
      <c r="H197" s="20"/>
      <c r="I197" s="21"/>
      <c r="J197" s="22"/>
      <c r="K197" s="21"/>
      <c r="L197" s="23"/>
      <c r="M197" s="19"/>
      <c r="N197" s="18"/>
      <c r="O197" s="24" t="str">
        <f t="shared" si="9"/>
        <v/>
      </c>
      <c r="P197" s="25" t="str">
        <f>IF(COUNTA(B197:N197)=0,"",TRIM(IF(B197="","Falta categoría. ","")&amp;IF(AND(B197&lt;&gt;"",COUNTIF(Catalogos!$B$6:$B$12,B197)=0),"Categoría inválida. ","")&amp;IF(C197="","Falta centro de costo. ","")&amp;IF(D197="","Falta partida. ","")&amp;IF(E197="","Falta fecha. ","")&amp;IF(F197="","Falta concepto. ","")&amp;IF(G197="","Falta proveedor. ","")&amp;IF(I197="","Falta monto. ","")&amp;IF(AND(I197&lt;&gt;"",I197&lt;=0),"Monto inválido. ","")&amp;IF(AND(COUNTA(J197:M197)&gt;0,OR(J197="",K197="",L197="",M197="")),"Completa los 4 campos de moneda extranjera. ","")&amp;IF(AND(J197&lt;&gt;"",COUNTIF(Catalogos!$F$6,J197)=0),"Moneda de factura inválida. ","")&amp;IF(AND(K197&lt;&gt;"",K197&lt;=0),"Monto de factura inválido. ","")&amp;IF(AND(L197&lt;&gt;"",L197&lt;=0),"Tipo de cambio inválido. ","")))</f>
        <v/>
      </c>
    </row>
    <row r="198" ht="22" customHeight="1">
      <c r="A198" s="17" t="str">
        <f t="shared" si="8"/>
        <v/>
      </c>
      <c r="B198" s="18"/>
      <c r="C198" s="18"/>
      <c r="D198" s="18"/>
      <c r="E198" s="19"/>
      <c r="F198" s="18"/>
      <c r="G198" s="18"/>
      <c r="H198" s="20"/>
      <c r="I198" s="21"/>
      <c r="J198" s="22"/>
      <c r="K198" s="21"/>
      <c r="L198" s="23"/>
      <c r="M198" s="19"/>
      <c r="N198" s="18"/>
      <c r="O198" s="24" t="str">
        <f t="shared" si="9"/>
        <v/>
      </c>
      <c r="P198" s="25" t="str">
        <f>IF(COUNTA(B198:N198)=0,"",TRIM(IF(B198="","Falta categoría. ","")&amp;IF(AND(B198&lt;&gt;"",COUNTIF(Catalogos!$B$6:$B$12,B198)=0),"Categoría inválida. ","")&amp;IF(C198="","Falta centro de costo. ","")&amp;IF(D198="","Falta partida. ","")&amp;IF(E198="","Falta fecha. ","")&amp;IF(F198="","Falta concepto. ","")&amp;IF(G198="","Falta proveedor. ","")&amp;IF(I198="","Falta monto. ","")&amp;IF(AND(I198&lt;&gt;"",I198&lt;=0),"Monto inválido. ","")&amp;IF(AND(COUNTA(J198:M198)&gt;0,OR(J198="",K198="",L198="",M198="")),"Completa los 4 campos de moneda extranjera. ","")&amp;IF(AND(J198&lt;&gt;"",COUNTIF(Catalogos!$F$6,J198)=0),"Moneda de factura inválida. ","")&amp;IF(AND(K198&lt;&gt;"",K198&lt;=0),"Monto de factura inválido. ","")&amp;IF(AND(L198&lt;&gt;"",L198&lt;=0),"Tipo de cambio inválido. ","")))</f>
        <v/>
      </c>
    </row>
    <row r="199" ht="22" customHeight="1">
      <c r="A199" s="17" t="str">
        <f t="shared" si="8"/>
        <v/>
      </c>
      <c r="B199" s="18"/>
      <c r="C199" s="18"/>
      <c r="D199" s="18"/>
      <c r="E199" s="19"/>
      <c r="F199" s="18"/>
      <c r="G199" s="18"/>
      <c r="H199" s="20"/>
      <c r="I199" s="21"/>
      <c r="J199" s="22"/>
      <c r="K199" s="21"/>
      <c r="L199" s="23"/>
      <c r="M199" s="19"/>
      <c r="N199" s="18"/>
      <c r="O199" s="24" t="str">
        <f t="shared" si="9"/>
        <v/>
      </c>
      <c r="P199" s="25" t="str">
        <f>IF(COUNTA(B199:N199)=0,"",TRIM(IF(B199="","Falta categoría. ","")&amp;IF(AND(B199&lt;&gt;"",COUNTIF(Catalogos!$B$6:$B$12,B199)=0),"Categoría inválida. ","")&amp;IF(C199="","Falta centro de costo. ","")&amp;IF(D199="","Falta partida. ","")&amp;IF(E199="","Falta fecha. ","")&amp;IF(F199="","Falta concepto. ","")&amp;IF(G199="","Falta proveedor. ","")&amp;IF(I199="","Falta monto. ","")&amp;IF(AND(I199&lt;&gt;"",I199&lt;=0),"Monto inválido. ","")&amp;IF(AND(COUNTA(J199:M199)&gt;0,OR(J199="",K199="",L199="",M199="")),"Completa los 4 campos de moneda extranjera. ","")&amp;IF(AND(J199&lt;&gt;"",COUNTIF(Catalogos!$F$6,J199)=0),"Moneda de factura inválida. ","")&amp;IF(AND(K199&lt;&gt;"",K199&lt;=0),"Monto de factura inválido. ","")&amp;IF(AND(L199&lt;&gt;"",L199&lt;=0),"Tipo de cambio inválido. ","")))</f>
        <v/>
      </c>
    </row>
    <row r="200" ht="22" customHeight="1">
      <c r="A200" s="17" t="str">
        <f t="shared" si="8"/>
        <v/>
      </c>
      <c r="B200" s="18"/>
      <c r="C200" s="18"/>
      <c r="D200" s="18"/>
      <c r="E200" s="19"/>
      <c r="F200" s="18"/>
      <c r="G200" s="18"/>
      <c r="H200" s="20"/>
      <c r="I200" s="21"/>
      <c r="J200" s="22"/>
      <c r="K200" s="21"/>
      <c r="L200" s="23"/>
      <c r="M200" s="19"/>
      <c r="N200" s="18"/>
      <c r="O200" s="24" t="str">
        <f t="shared" si="9"/>
        <v/>
      </c>
      <c r="P200" s="25" t="str">
        <f>IF(COUNTA(B200:N200)=0,"",TRIM(IF(B200="","Falta categoría. ","")&amp;IF(AND(B200&lt;&gt;"",COUNTIF(Catalogos!$B$6:$B$12,B200)=0),"Categoría inválida. ","")&amp;IF(C200="","Falta centro de costo. ","")&amp;IF(D200="","Falta partida. ","")&amp;IF(E200="","Falta fecha. ","")&amp;IF(F200="","Falta concepto. ","")&amp;IF(G200="","Falta proveedor. ","")&amp;IF(I200="","Falta monto. ","")&amp;IF(AND(I200&lt;&gt;"",I200&lt;=0),"Monto inválido. ","")&amp;IF(AND(COUNTA(J200:M200)&gt;0,OR(J200="",K200="",L200="",M200="")),"Completa los 4 campos de moneda extranjera. ","")&amp;IF(AND(J200&lt;&gt;"",COUNTIF(Catalogos!$F$6,J200)=0),"Moneda de factura inválida. ","")&amp;IF(AND(K200&lt;&gt;"",K200&lt;=0),"Monto de factura inválido. ","")&amp;IF(AND(L200&lt;&gt;"",L200&lt;=0),"Tipo de cambio inválido. ","")))</f>
        <v/>
      </c>
    </row>
    <row r="201" ht="22" customHeight="1">
      <c r="A201" s="17" t="str">
        <f t="shared" si="8"/>
        <v/>
      </c>
      <c r="B201" s="18"/>
      <c r="C201" s="18"/>
      <c r="D201" s="18"/>
      <c r="E201" s="19"/>
      <c r="F201" s="18"/>
      <c r="G201" s="18"/>
      <c r="H201" s="20"/>
      <c r="I201" s="21"/>
      <c r="J201" s="22"/>
      <c r="K201" s="21"/>
      <c r="L201" s="23"/>
      <c r="M201" s="19"/>
      <c r="N201" s="18"/>
      <c r="O201" s="24" t="str">
        <f t="shared" si="9"/>
        <v/>
      </c>
      <c r="P201" s="25" t="str">
        <f>IF(COUNTA(B201:N201)=0,"",TRIM(IF(B201="","Falta categoría. ","")&amp;IF(AND(B201&lt;&gt;"",COUNTIF(Catalogos!$B$6:$B$12,B201)=0),"Categoría inválida. ","")&amp;IF(C201="","Falta centro de costo. ","")&amp;IF(D201="","Falta partida. ","")&amp;IF(E201="","Falta fecha. ","")&amp;IF(F201="","Falta concepto. ","")&amp;IF(G201="","Falta proveedor. ","")&amp;IF(I201="","Falta monto. ","")&amp;IF(AND(I201&lt;&gt;"",I201&lt;=0),"Monto inválido. ","")&amp;IF(AND(COUNTA(J201:M201)&gt;0,OR(J201="",K201="",L201="",M201="")),"Completa los 4 campos de moneda extranjera. ","")&amp;IF(AND(J201&lt;&gt;"",COUNTIF(Catalogos!$F$6,J201)=0),"Moneda de factura inválida. ","")&amp;IF(AND(K201&lt;&gt;"",K201&lt;=0),"Monto de factura inválido. ","")&amp;IF(AND(L201&lt;&gt;"",L201&lt;=0),"Tipo de cambio inválido. ","")))</f>
        <v/>
      </c>
    </row>
    <row r="202" ht="22" customHeight="1">
      <c r="A202" s="17" t="str">
        <f t="shared" si="8"/>
        <v/>
      </c>
      <c r="B202" s="18"/>
      <c r="C202" s="18"/>
      <c r="D202" s="18"/>
      <c r="E202" s="19"/>
      <c r="F202" s="18"/>
      <c r="G202" s="18"/>
      <c r="H202" s="20"/>
      <c r="I202" s="21"/>
      <c r="J202" s="22"/>
      <c r="K202" s="21"/>
      <c r="L202" s="23"/>
      <c r="M202" s="19"/>
      <c r="N202" s="18"/>
      <c r="O202" s="24" t="str">
        <f t="shared" si="9"/>
        <v/>
      </c>
      <c r="P202" s="25" t="str">
        <f>IF(COUNTA(B202:N202)=0,"",TRIM(IF(B202="","Falta categoría. ","")&amp;IF(AND(B202&lt;&gt;"",COUNTIF(Catalogos!$B$6:$B$12,B202)=0),"Categoría inválida. ","")&amp;IF(C202="","Falta centro de costo. ","")&amp;IF(D202="","Falta partida. ","")&amp;IF(E202="","Falta fecha. ","")&amp;IF(F202="","Falta concepto. ","")&amp;IF(G202="","Falta proveedor. ","")&amp;IF(I202="","Falta monto. ","")&amp;IF(AND(I202&lt;&gt;"",I202&lt;=0),"Monto inválido. ","")&amp;IF(AND(COUNTA(J202:M202)&gt;0,OR(J202="",K202="",L202="",M202="")),"Completa los 4 campos de moneda extranjera. ","")&amp;IF(AND(J202&lt;&gt;"",COUNTIF(Catalogos!$F$6,J202)=0),"Moneda de factura inválida. ","")&amp;IF(AND(K202&lt;&gt;"",K202&lt;=0),"Monto de factura inválido. ","")&amp;IF(AND(L202&lt;&gt;"",L202&lt;=0),"Tipo de cambio inválido. ","")))</f>
        <v/>
      </c>
    </row>
    <row r="203" ht="22" customHeight="1">
      <c r="A203" s="17" t="str">
        <f t="shared" si="8"/>
        <v/>
      </c>
      <c r="B203" s="18"/>
      <c r="C203" s="18"/>
      <c r="D203" s="18"/>
      <c r="E203" s="19"/>
      <c r="F203" s="18"/>
      <c r="G203" s="18"/>
      <c r="H203" s="20"/>
      <c r="I203" s="21"/>
      <c r="J203" s="22"/>
      <c r="K203" s="21"/>
      <c r="L203" s="23"/>
      <c r="M203" s="19"/>
      <c r="N203" s="18"/>
      <c r="O203" s="24" t="str">
        <f t="shared" si="9"/>
        <v/>
      </c>
      <c r="P203" s="25" t="str">
        <f>IF(COUNTA(B203:N203)=0,"",TRIM(IF(B203="","Falta categoría. ","")&amp;IF(AND(B203&lt;&gt;"",COUNTIF(Catalogos!$B$6:$B$12,B203)=0),"Categoría inválida. ","")&amp;IF(C203="","Falta centro de costo. ","")&amp;IF(D203="","Falta partida. ","")&amp;IF(E203="","Falta fecha. ","")&amp;IF(F203="","Falta concepto. ","")&amp;IF(G203="","Falta proveedor. ","")&amp;IF(I203="","Falta monto. ","")&amp;IF(AND(I203&lt;&gt;"",I203&lt;=0),"Monto inválido. ","")&amp;IF(AND(COUNTA(J203:M203)&gt;0,OR(J203="",K203="",L203="",M203="")),"Completa los 4 campos de moneda extranjera. ","")&amp;IF(AND(J203&lt;&gt;"",COUNTIF(Catalogos!$F$6,J203)=0),"Moneda de factura inválida. ","")&amp;IF(AND(K203&lt;&gt;"",K203&lt;=0),"Monto de factura inválido. ","")&amp;IF(AND(L203&lt;&gt;"",L203&lt;=0),"Tipo de cambio inválido. ","")))</f>
        <v/>
      </c>
    </row>
    <row r="204" ht="22" customHeight="1">
      <c r="A204" s="17" t="str">
        <f t="shared" si="8"/>
        <v/>
      </c>
      <c r="B204" s="18"/>
      <c r="C204" s="18"/>
      <c r="D204" s="18"/>
      <c r="E204" s="19"/>
      <c r="F204" s="18"/>
      <c r="G204" s="18"/>
      <c r="H204" s="20"/>
      <c r="I204" s="21"/>
      <c r="J204" s="22"/>
      <c r="K204" s="21"/>
      <c r="L204" s="23"/>
      <c r="M204" s="19"/>
      <c r="N204" s="18"/>
      <c r="O204" s="24" t="str">
        <f t="shared" si="9"/>
        <v/>
      </c>
      <c r="P204" s="25" t="str">
        <f>IF(COUNTA(B204:N204)=0,"",TRIM(IF(B204="","Falta categoría. ","")&amp;IF(AND(B204&lt;&gt;"",COUNTIF(Catalogos!$B$6:$B$12,B204)=0),"Categoría inválida. ","")&amp;IF(C204="","Falta centro de costo. ","")&amp;IF(D204="","Falta partida. ","")&amp;IF(E204="","Falta fecha. ","")&amp;IF(F204="","Falta concepto. ","")&amp;IF(G204="","Falta proveedor. ","")&amp;IF(I204="","Falta monto. ","")&amp;IF(AND(I204&lt;&gt;"",I204&lt;=0),"Monto inválido. ","")&amp;IF(AND(COUNTA(J204:M204)&gt;0,OR(J204="",K204="",L204="",M204="")),"Completa los 4 campos de moneda extranjera. ","")&amp;IF(AND(J204&lt;&gt;"",COUNTIF(Catalogos!$F$6,J204)=0),"Moneda de factura inválida. ","")&amp;IF(AND(K204&lt;&gt;"",K204&lt;=0),"Monto de factura inválido. ","")&amp;IF(AND(L204&lt;&gt;"",L204&lt;=0),"Tipo de cambio inválido. ","")))</f>
        <v/>
      </c>
    </row>
    <row r="205" ht="22" customHeight="1">
      <c r="A205" s="26" t="str">
        <f t="shared" si="8"/>
        <v/>
      </c>
      <c r="B205" s="27"/>
      <c r="C205" s="27"/>
      <c r="D205" s="27"/>
      <c r="E205" s="28"/>
      <c r="F205" s="27"/>
      <c r="G205" s="27"/>
      <c r="H205" s="29"/>
      <c r="I205" s="30"/>
      <c r="J205" s="31"/>
      <c r="K205" s="30"/>
      <c r="L205" s="32"/>
      <c r="M205" s="28"/>
      <c r="N205" s="27"/>
      <c r="O205" s="33" t="str">
        <f t="shared" si="9"/>
        <v/>
      </c>
      <c r="P205" s="34" t="str">
        <f>IF(COUNTA(B205:N205)=0,"",TRIM(IF(B205="","Falta categoría. ","")&amp;IF(AND(B205&lt;&gt;"",COUNTIF(Catalogos!$B$6:$B$12,B205)=0),"Categoría inválida. ","")&amp;IF(C205="","Falta centro de costo. ","")&amp;IF(D205="","Falta partida. ","")&amp;IF(E205="","Falta fecha. ","")&amp;IF(F205="","Falta concepto. ","")&amp;IF(G205="","Falta proveedor. ","")&amp;IF(I205="","Falta monto. ","")&amp;IF(AND(I205&lt;&gt;"",I205&lt;=0),"Monto inválido. ","")&amp;IF(AND(COUNTA(J205:M205)&gt;0,OR(J205="",K205="",L205="",M205="")),"Completa los 4 campos de moneda extranjera. ","")&amp;IF(AND(J205&lt;&gt;"",COUNTIF(Catalogos!$F$6,J205)=0),"Moneda de factura inválida. ","")&amp;IF(AND(K205&lt;&gt;"",K205&lt;=0),"Monto de factura inválido. ","")&amp;IF(AND(L205&lt;&gt;"",L205&lt;=0),"Tipo de cambio inválido. ","")))</f>
        <v/>
      </c>
    </row>
  </sheetData>
  <dataValidations count="2" disablePrompts="0">
    <dataValidation sqref="B6:B205" type="list" allowBlank="0" errorStyle="stop" imeMode="noControl" operator="between" showDropDown="0" showErrorMessage="0" showInputMessage="0">
      <formula1>Catalogos!$B$6:$B$12</formula1>
    </dataValidation>
    <dataValidation sqref="J6:J205" type="list" allowBlank="0" errorStyle="stop" imeMode="noControl" operator="between" showDropDown="0" showErrorMessage="0" showInputMessage="0">
      <formula1>Catalogos!$F$6:$F$6</formula1>
    </dataValidation>
  </dataValidation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E1C6D967-CD92-4AC8-9EAA-063A9484F2EB}">
            <xm:f>AND(COUNTA($B6:$N6)&gt;0,B6="")</xm:f>
            <x14:dxf>
              <font>
                <b/>
                <color rgb="FFC00000"/>
              </font>
              <fill>
                <patternFill patternType="solid">
                  <fgColor rgb="FFFCE4D6"/>
                  <bgColor rgb="FFFCE4D6"/>
                </patternFill>
              </fill>
            </x14:dxf>
          </x14:cfRule>
          <xm:sqref>B6:B205</xm:sqref>
        </x14:conditionalFormatting>
        <x14:conditionalFormatting xmlns:xm="http://schemas.microsoft.com/office/excel/2006/main">
          <x14:cfRule type="expression" priority="2" id="{37FAC297-C592-4BBD-BC5D-E611AE3B15B6}">
            <xm:f>AND(COUNTA($B6:$N6)&gt;0,C6="")</xm:f>
            <x14:dxf>
              <font>
                <b/>
                <color rgb="FFC00000"/>
              </font>
              <fill>
                <patternFill patternType="solid">
                  <fgColor rgb="FFFCE4D6"/>
                  <bgColor rgb="FFFCE4D6"/>
                </patternFill>
              </fill>
            </x14:dxf>
          </x14:cfRule>
          <xm:sqref>C6:C205</xm:sqref>
        </x14:conditionalFormatting>
        <x14:conditionalFormatting xmlns:xm="http://schemas.microsoft.com/office/excel/2006/main">
          <x14:cfRule type="expression" priority="3" id="{998C1D75-DDB3-4A95-80DF-1B1A4556A5C7}">
            <xm:f>AND(COUNTA($B6:$N6)&gt;0,D6="")</xm:f>
            <x14:dxf>
              <font>
                <b/>
                <color rgb="FFC00000"/>
              </font>
              <fill>
                <patternFill patternType="solid">
                  <fgColor rgb="FFFCE4D6"/>
                  <bgColor rgb="FFFCE4D6"/>
                </patternFill>
              </fill>
            </x14:dxf>
          </x14:cfRule>
          <xm:sqref>D6:D205</xm:sqref>
        </x14:conditionalFormatting>
        <x14:conditionalFormatting xmlns:xm="http://schemas.microsoft.com/office/excel/2006/main">
          <x14:cfRule type="expression" priority="4" id="{B9996980-8BF3-4B88-BFA2-47D75DE41A88}">
            <xm:f>AND(COUNTA($B6:$N6)&gt;0,E6="")</xm:f>
            <x14:dxf>
              <font>
                <b/>
                <color rgb="FFC00000"/>
              </font>
              <fill>
                <patternFill patternType="solid">
                  <fgColor rgb="FFFCE4D6"/>
                  <bgColor rgb="FFFCE4D6"/>
                </patternFill>
              </fill>
            </x14:dxf>
          </x14:cfRule>
          <xm:sqref>E6:E205</xm:sqref>
        </x14:conditionalFormatting>
        <x14:conditionalFormatting xmlns:xm="http://schemas.microsoft.com/office/excel/2006/main">
          <x14:cfRule type="expression" priority="5" id="{05683791-6334-4B98-A328-F4CC957AF13A}">
            <xm:f>AND(COUNTA($B6:$N6)&gt;0,F6="")</xm:f>
            <x14:dxf>
              <font>
                <b/>
                <color rgb="FFC00000"/>
              </font>
              <fill>
                <patternFill patternType="solid">
                  <fgColor rgb="FFFCE4D6"/>
                  <bgColor rgb="FFFCE4D6"/>
                </patternFill>
              </fill>
            </x14:dxf>
          </x14:cfRule>
          <xm:sqref>F6:F205</xm:sqref>
        </x14:conditionalFormatting>
        <x14:conditionalFormatting xmlns:xm="http://schemas.microsoft.com/office/excel/2006/main">
          <x14:cfRule type="expression" priority="6" id="{3CFAAB7B-9BAE-41F1-8234-8706445179D6}">
            <xm:f>AND(COUNTA($B6:$N6)&gt;0,G6="")</xm:f>
            <x14:dxf>
              <font>
                <b/>
                <color rgb="FFC00000"/>
              </font>
              <fill>
                <patternFill patternType="solid">
                  <fgColor rgb="FFFCE4D6"/>
                  <bgColor rgb="FFFCE4D6"/>
                </patternFill>
              </fill>
            </x14:dxf>
          </x14:cfRule>
          <xm:sqref>G6:G205</xm:sqref>
        </x14:conditionalFormatting>
        <x14:conditionalFormatting xmlns:xm="http://schemas.microsoft.com/office/excel/2006/main">
          <x14:cfRule type="expression" priority="7" id="{C796BA50-FCB3-4CEC-B93B-1A9B864D643A}">
            <xm:f>AND(COUNTA($B6:$N6)&gt;0,I6="")</xm:f>
            <x14:dxf>
              <font>
                <b/>
                <color rgb="FFC00000"/>
              </font>
              <fill>
                <patternFill patternType="solid">
                  <fgColor rgb="FFFCE4D6"/>
                  <bgColor rgb="FFFCE4D6"/>
                </patternFill>
              </fill>
            </x14:dxf>
          </x14:cfRule>
          <xm:sqref>I6:I205</xm:sqref>
        </x14:conditionalFormatting>
        <x14:conditionalFormatting xmlns:xm="http://schemas.microsoft.com/office/excel/2006/main">
          <x14:cfRule type="expression" priority="8" id="{4562927A-B0D5-4D58-B197-BFB895D83073}">
            <xm:f>AND(COUNTA($J6:$M6)&gt;0,OR($J6="",$K6="",$L6="",$M6=""))</xm:f>
            <x14:dxf>
              <font>
                <b/>
                <color rgb="FF1F2937"/>
              </font>
              <fill>
                <patternFill patternType="solid">
                  <fgColor rgb="FFFFE699"/>
                  <bgColor rgb="FFFFE699"/>
                </patternFill>
              </fill>
            </x14:dxf>
          </x14:cfRule>
          <xm:sqref>J6:M205</xm:sqref>
        </x14:conditionalFormatting>
        <x14:conditionalFormatting xmlns:xm="http://schemas.microsoft.com/office/excel/2006/main">
          <x14:cfRule type="expression" priority="9" id="{E4727DDB-712C-4F2E-887C-BC3E3B3B8820}">
            <xm:f>O6="LISTO"</xm:f>
            <x14:dxf>
              <font>
                <b/>
                <color rgb="FF217346"/>
              </font>
              <fill>
                <patternFill patternType="solid">
                  <fgColor rgb="FFE2F0D9"/>
                  <bgColor rgb="FFE2F0D9"/>
                </patternFill>
              </fill>
            </x14:dxf>
          </x14:cfRule>
          <xm:sqref>O6:O205</xm:sqref>
        </x14:conditionalFormatting>
        <x14:conditionalFormatting xmlns:xm="http://schemas.microsoft.com/office/excel/2006/main">
          <x14:cfRule type="expression" priority="10" id="{9477BCF5-82DD-40C2-B37F-93D996C26C9E}">
            <xm:f>O6="REVISAR"</xm:f>
            <x14:dxf>
              <font>
                <b/>
                <color rgb="FFC00000"/>
              </font>
              <fill>
                <patternFill patternType="solid">
                  <fgColor rgb="FFFCE4D6"/>
                  <bgColor rgb="FFFCE4D6"/>
                </patternFill>
              </fill>
            </x14:dxf>
          </x14:cfRule>
          <xm:sqref>O6:O205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rgb="FFD9EAF7"/>
    <outlinePr applyStyles="0" summaryBelow="1" summaryRight="1" showOutlineSymbols="1"/>
    <pageSetUpPr autoPageBreaks="1" fitToPage="0"/>
  </sheetPr>
  <sheetViews>
    <sheetView showGridLines="0" zoomScale="100" workbookViewId="0">
      <selection activeCell="A1" activeCellId="0" sqref="A1"/>
    </sheetView>
  </sheetViews>
  <sheetFormatPr defaultRowHeight="15"/>
  <cols>
    <col customWidth="1" min="1" max="1" width="29"/>
    <col customWidth="1" min="2" max="2" width="30"/>
    <col customWidth="1" min="3" max="3" width="28"/>
    <col customWidth="1" min="4" max="4" width="20"/>
  </cols>
  <sheetData>
    <row r="1">
      <c r="A1" s="1"/>
      <c r="B1" s="1"/>
      <c r="C1" s="1"/>
      <c r="D1" s="1"/>
      <c r="E1" s="1"/>
      <c r="F1" s="1"/>
      <c r="G1" s="1"/>
      <c r="H1" s="1"/>
    </row>
    <row r="2">
      <c r="A2" s="2" t="s">
        <v>18</v>
      </c>
      <c r="B2" s="1"/>
      <c r="C2" s="1"/>
      <c r="D2" s="1"/>
      <c r="E2" s="1"/>
      <c r="F2" s="1"/>
      <c r="G2" s="1"/>
      <c r="H2" s="1"/>
    </row>
    <row r="3" ht="34" customHeight="1">
      <c r="A3" s="3" t="s">
        <v>19</v>
      </c>
      <c r="B3" s="1"/>
      <c r="C3" s="1"/>
      <c r="D3" s="1"/>
      <c r="E3" s="1"/>
      <c r="F3" s="1"/>
      <c r="G3" s="1"/>
      <c r="H3" s="1"/>
    </row>
    <row r="4">
      <c r="A4" s="1"/>
      <c r="B4" s="1"/>
      <c r="C4" s="1"/>
      <c r="D4" s="1"/>
      <c r="E4" s="1"/>
      <c r="F4" s="1"/>
      <c r="G4" s="1"/>
      <c r="H4" s="1"/>
    </row>
    <row r="5">
      <c r="A5" s="35" t="s">
        <v>20</v>
      </c>
      <c r="B5" s="35"/>
      <c r="C5" s="35"/>
      <c r="D5" s="35"/>
      <c r="E5" s="1"/>
      <c r="F5" s="1"/>
      <c r="G5" s="1"/>
      <c r="H5" s="1"/>
    </row>
    <row r="6" ht="28" customHeight="1">
      <c r="A6" s="36">
        <v>1</v>
      </c>
      <c r="B6" s="37" t="s">
        <v>21</v>
      </c>
      <c r="C6" s="37"/>
      <c r="D6" s="37"/>
      <c r="E6" s="1"/>
      <c r="F6" s="1"/>
      <c r="G6" s="1"/>
      <c r="H6" s="1"/>
    </row>
    <row r="7" ht="28" customHeight="1">
      <c r="A7" s="38">
        <v>2</v>
      </c>
      <c r="B7" s="39" t="s">
        <v>22</v>
      </c>
      <c r="C7" s="39"/>
      <c r="D7" s="39"/>
      <c r="E7" s="1"/>
      <c r="F7" s="1"/>
      <c r="G7" s="1"/>
      <c r="H7" s="1"/>
    </row>
    <row r="8" ht="28" customHeight="1">
      <c r="A8" s="38">
        <v>3</v>
      </c>
      <c r="B8" s="39" t="s">
        <v>23</v>
      </c>
      <c r="C8" s="39"/>
      <c r="D8" s="39"/>
      <c r="E8" s="1"/>
      <c r="F8" s="1"/>
      <c r="G8" s="1"/>
      <c r="H8" s="1"/>
    </row>
    <row r="9" ht="28" customHeight="1">
      <c r="A9" s="38">
        <v>4</v>
      </c>
      <c r="B9" s="39" t="s">
        <v>24</v>
      </c>
      <c r="C9" s="39"/>
      <c r="D9" s="39"/>
      <c r="E9" s="1"/>
      <c r="F9" s="1"/>
      <c r="G9" s="1"/>
      <c r="H9" s="1"/>
    </row>
    <row r="10" ht="28" customHeight="1">
      <c r="A10" s="40">
        <v>5</v>
      </c>
      <c r="B10" s="41" t="s">
        <v>25</v>
      </c>
      <c r="C10" s="41"/>
      <c r="D10" s="41"/>
      <c r="E10" s="1"/>
      <c r="F10" s="1"/>
      <c r="G10" s="1"/>
      <c r="H10" s="1"/>
    </row>
    <row r="11">
      <c r="A11" s="1"/>
      <c r="B11" s="1"/>
      <c r="C11" s="1"/>
      <c r="D11" s="1"/>
      <c r="E11" s="1"/>
      <c r="F11" s="1"/>
      <c r="G11" s="1"/>
      <c r="H11" s="1"/>
    </row>
    <row r="12">
      <c r="A12" s="35" t="s">
        <v>26</v>
      </c>
      <c r="B12" s="35"/>
      <c r="C12" s="35"/>
      <c r="D12" s="35"/>
      <c r="E12" s="1"/>
      <c r="F12" s="1"/>
      <c r="G12" s="1"/>
      <c r="H12" s="1"/>
    </row>
    <row r="13">
      <c r="A13" s="42" t="s">
        <v>27</v>
      </c>
      <c r="B13" s="43" t="s">
        <v>28</v>
      </c>
      <c r="C13" s="43"/>
      <c r="D13" s="43"/>
      <c r="E13" s="1"/>
      <c r="F13" s="1"/>
      <c r="G13" s="1"/>
      <c r="H13" s="1"/>
    </row>
    <row r="14" ht="32" customHeight="1">
      <c r="A14" s="44" t="s">
        <v>29</v>
      </c>
      <c r="B14" s="39" t="s">
        <v>30</v>
      </c>
      <c r="C14" s="39"/>
      <c r="D14" s="39"/>
      <c r="E14" s="1"/>
      <c r="F14" s="1"/>
      <c r="G14" s="1"/>
      <c r="H14" s="1"/>
    </row>
    <row r="15" ht="32" customHeight="1">
      <c r="A15" s="44" t="s">
        <v>31</v>
      </c>
      <c r="B15" s="39" t="s">
        <v>32</v>
      </c>
      <c r="C15" s="39"/>
      <c r="D15" s="39"/>
      <c r="E15" s="1"/>
      <c r="F15" s="1"/>
      <c r="G15" s="1"/>
      <c r="H15" s="1"/>
    </row>
    <row r="16" ht="32" customHeight="1">
      <c r="A16" s="44" t="s">
        <v>10</v>
      </c>
      <c r="B16" s="39" t="s">
        <v>33</v>
      </c>
      <c r="C16" s="39"/>
      <c r="D16" s="39"/>
      <c r="E16" s="1"/>
      <c r="F16" s="1"/>
      <c r="G16" s="1"/>
      <c r="H16" s="1"/>
    </row>
    <row r="17" ht="32" customHeight="1">
      <c r="A17" s="44" t="s">
        <v>34</v>
      </c>
      <c r="B17" s="39" t="s">
        <v>35</v>
      </c>
      <c r="C17" s="39"/>
      <c r="D17" s="39"/>
      <c r="E17" s="1"/>
      <c r="F17" s="1"/>
      <c r="G17" s="1"/>
      <c r="H17" s="1"/>
    </row>
    <row r="18" ht="32" customHeight="1">
      <c r="A18" s="44" t="s">
        <v>36</v>
      </c>
      <c r="B18" s="39" t="s">
        <v>37</v>
      </c>
      <c r="C18" s="39"/>
      <c r="D18" s="39"/>
      <c r="E18" s="1"/>
      <c r="F18" s="1"/>
      <c r="G18" s="1"/>
      <c r="H18" s="1"/>
    </row>
    <row r="19" ht="32" customHeight="1">
      <c r="A19" s="45" t="s">
        <v>38</v>
      </c>
      <c r="B19" s="46" t="s">
        <v>39</v>
      </c>
      <c r="C19" s="46"/>
      <c r="D19" s="46"/>
      <c r="E19" s="1"/>
      <c r="F19" s="1"/>
      <c r="G19" s="1"/>
      <c r="H19" s="1"/>
    </row>
    <row r="20">
      <c r="A20" s="1"/>
      <c r="B20" s="1"/>
      <c r="C20" s="1"/>
      <c r="D20" s="1"/>
      <c r="E20" s="1"/>
      <c r="F20" s="1"/>
      <c r="G20" s="1"/>
      <c r="H20" s="1"/>
    </row>
    <row r="21">
      <c r="A21" s="35" t="s">
        <v>40</v>
      </c>
      <c r="B21" s="35"/>
      <c r="C21" s="35"/>
      <c r="D21" s="35"/>
      <c r="E21" s="1"/>
      <c r="F21" s="1"/>
      <c r="G21" s="1"/>
      <c r="H21" s="1"/>
    </row>
    <row r="22">
      <c r="A22" s="47" t="s">
        <v>41</v>
      </c>
      <c r="B22" s="47" t="s">
        <v>42</v>
      </c>
      <c r="C22" s="47" t="s">
        <v>43</v>
      </c>
      <c r="D22" s="47" t="s">
        <v>44</v>
      </c>
      <c r="E22" s="1"/>
      <c r="F22" s="1"/>
      <c r="G22" s="1"/>
      <c r="H22" s="1"/>
    </row>
    <row r="23" ht="32" customHeight="1">
      <c r="A23" s="37" t="s">
        <v>45</v>
      </c>
      <c r="B23" s="37" t="s">
        <v>46</v>
      </c>
      <c r="C23" s="37" t="s">
        <v>47</v>
      </c>
      <c r="D23" s="37" t="s">
        <v>48</v>
      </c>
      <c r="E23" s="1"/>
      <c r="F23" s="1"/>
      <c r="G23" s="1"/>
      <c r="H23" s="1"/>
    </row>
    <row r="24" ht="32" customHeight="1">
      <c r="A24" s="39" t="s">
        <v>49</v>
      </c>
      <c r="B24" s="39" t="s">
        <v>50</v>
      </c>
      <c r="C24" s="39" t="s">
        <v>51</v>
      </c>
      <c r="D24" s="39" t="s">
        <v>52</v>
      </c>
      <c r="E24" s="1"/>
      <c r="F24" s="1"/>
      <c r="G24" s="1"/>
      <c r="H24" s="1"/>
    </row>
    <row r="25" ht="32" customHeight="1">
      <c r="A25" s="39" t="s">
        <v>53</v>
      </c>
      <c r="B25" s="39" t="s">
        <v>8</v>
      </c>
      <c r="C25" s="39" t="s">
        <v>51</v>
      </c>
      <c r="D25" s="39" t="s">
        <v>52</v>
      </c>
      <c r="E25" s="1"/>
      <c r="F25" s="1"/>
      <c r="G25" s="1"/>
      <c r="H25" s="1"/>
    </row>
    <row r="26" ht="32" customHeight="1">
      <c r="A26" s="39" t="s">
        <v>54</v>
      </c>
      <c r="B26" s="39" t="s">
        <v>55</v>
      </c>
      <c r="C26" s="39" t="s">
        <v>51</v>
      </c>
      <c r="D26" s="39" t="s">
        <v>56</v>
      </c>
      <c r="E26" s="1"/>
      <c r="F26" s="1"/>
      <c r="G26" s="1"/>
      <c r="H26" s="1"/>
    </row>
    <row r="27" ht="32" customHeight="1">
      <c r="A27" s="39" t="s">
        <v>6</v>
      </c>
      <c r="B27" s="39" t="s">
        <v>6</v>
      </c>
      <c r="C27" s="39" t="s">
        <v>57</v>
      </c>
      <c r="D27" s="39" t="s">
        <v>58</v>
      </c>
      <c r="E27" s="1"/>
      <c r="F27" s="1"/>
      <c r="G27" s="1"/>
      <c r="H27" s="1"/>
    </row>
    <row r="28" ht="32" customHeight="1">
      <c r="A28" s="39" t="s">
        <v>7</v>
      </c>
      <c r="B28" s="39" t="s">
        <v>7</v>
      </c>
      <c r="C28" s="39" t="s">
        <v>57</v>
      </c>
      <c r="D28" s="39" t="s">
        <v>58</v>
      </c>
      <c r="E28" s="1"/>
      <c r="F28" s="1"/>
      <c r="G28" s="1"/>
      <c r="H28" s="1"/>
    </row>
    <row r="29" ht="32" customHeight="1">
      <c r="A29" s="39" t="s">
        <v>59</v>
      </c>
      <c r="B29" s="39" t="s">
        <v>9</v>
      </c>
      <c r="C29" s="39" t="s">
        <v>57</v>
      </c>
      <c r="D29" s="39" t="s">
        <v>60</v>
      </c>
      <c r="E29" s="1"/>
      <c r="F29" s="1"/>
      <c r="G29" s="1"/>
      <c r="H29" s="1"/>
    </row>
    <row r="30" ht="32" customHeight="1">
      <c r="A30" s="39" t="s">
        <v>10</v>
      </c>
      <c r="B30" s="39" t="s">
        <v>10</v>
      </c>
      <c r="C30" s="39" t="s">
        <v>57</v>
      </c>
      <c r="D30" s="39" t="s">
        <v>58</v>
      </c>
      <c r="E30" s="1"/>
      <c r="F30" s="1"/>
      <c r="G30" s="1"/>
      <c r="H30" s="1"/>
    </row>
    <row r="31" ht="32" customHeight="1">
      <c r="A31" s="39" t="s">
        <v>61</v>
      </c>
      <c r="B31" s="39" t="s">
        <v>46</v>
      </c>
      <c r="C31" s="39" t="s">
        <v>62</v>
      </c>
      <c r="D31" s="39" t="s">
        <v>48</v>
      </c>
      <c r="E31" s="1"/>
      <c r="F31" s="1"/>
      <c r="G31" s="1"/>
      <c r="H31" s="1"/>
    </row>
    <row r="32" ht="32" customHeight="1">
      <c r="A32" s="39" t="s">
        <v>63</v>
      </c>
      <c r="B32" s="39" t="s">
        <v>64</v>
      </c>
      <c r="C32" s="39" t="s">
        <v>65</v>
      </c>
      <c r="D32" s="39" t="s">
        <v>66</v>
      </c>
      <c r="E32" s="1"/>
      <c r="F32" s="1"/>
      <c r="G32" s="1"/>
      <c r="H32" s="1"/>
    </row>
    <row r="33" ht="32" customHeight="1">
      <c r="A33" s="39" t="s">
        <v>67</v>
      </c>
      <c r="B33" s="39" t="s">
        <v>68</v>
      </c>
      <c r="C33" s="39" t="s">
        <v>69</v>
      </c>
      <c r="D33" s="39" t="s">
        <v>66</v>
      </c>
      <c r="E33" s="1"/>
      <c r="F33" s="1"/>
      <c r="G33" s="1"/>
      <c r="H33" s="1"/>
    </row>
    <row r="34" ht="32" customHeight="1">
      <c r="A34" s="41" t="s">
        <v>70</v>
      </c>
      <c r="B34" s="41" t="s">
        <v>3</v>
      </c>
      <c r="C34" s="41" t="s">
        <v>71</v>
      </c>
      <c r="D34" s="41" t="s">
        <v>52</v>
      </c>
      <c r="E34" s="1"/>
      <c r="F34" s="1"/>
      <c r="G34" s="1"/>
      <c r="H34" s="1"/>
    </row>
    <row r="35">
      <c r="A35" s="1"/>
      <c r="B35" s="1"/>
      <c r="C35" s="1"/>
      <c r="D35" s="1"/>
      <c r="E35" s="1"/>
      <c r="F35" s="1"/>
      <c r="G35" s="1"/>
      <c r="H35" s="1"/>
    </row>
    <row r="36">
      <c r="A36" s="48" t="s">
        <v>72</v>
      </c>
      <c r="B36" s="48"/>
      <c r="C36" s="48"/>
      <c r="D36" s="48"/>
      <c r="E36" s="1"/>
      <c r="F36" s="1"/>
      <c r="G36" s="1"/>
      <c r="H36" s="1"/>
    </row>
    <row r="37" ht="36" customHeight="1">
      <c r="A37" s="49" t="s">
        <v>73</v>
      </c>
      <c r="B37" s="37" t="s">
        <v>74</v>
      </c>
      <c r="C37" s="37"/>
      <c r="D37" s="37"/>
      <c r="E37" s="1"/>
      <c r="F37" s="1"/>
      <c r="G37" s="1"/>
      <c r="H37" s="1"/>
    </row>
    <row r="38" ht="36" customHeight="1">
      <c r="A38" s="44" t="s">
        <v>75</v>
      </c>
      <c r="B38" s="39" t="s">
        <v>76</v>
      </c>
      <c r="C38" s="39"/>
      <c r="D38" s="39"/>
      <c r="E38" s="1"/>
      <c r="F38" s="1"/>
      <c r="G38" s="1"/>
      <c r="H38" s="1"/>
    </row>
    <row r="39" ht="36" customHeight="1">
      <c r="A39" s="50" t="s">
        <v>15</v>
      </c>
      <c r="B39" s="41" t="s">
        <v>77</v>
      </c>
      <c r="C39" s="41"/>
      <c r="D39" s="41"/>
      <c r="E39" s="1"/>
      <c r="F39" s="1"/>
      <c r="G39" s="1"/>
      <c r="H39" s="1"/>
    </row>
    <row r="40">
      <c r="A40" s="1"/>
      <c r="B40" s="1"/>
      <c r="C40" s="1"/>
      <c r="D40" s="1"/>
      <c r="E40" s="1"/>
      <c r="F40" s="1"/>
      <c r="G40" s="1"/>
      <c r="H40" s="1"/>
    </row>
    <row r="41">
      <c r="A41" s="1"/>
      <c r="B41" s="1"/>
      <c r="C41" s="1"/>
      <c r="D41" s="1"/>
      <c r="E41" s="1"/>
      <c r="F41" s="1"/>
      <c r="G41" s="1"/>
      <c r="H41" s="1"/>
    </row>
    <row r="42">
      <c r="A42" s="1"/>
      <c r="B42" s="1"/>
      <c r="C42" s="1"/>
      <c r="D42" s="1"/>
      <c r="E42" s="1"/>
      <c r="F42" s="1"/>
      <c r="G42" s="1"/>
      <c r="H42" s="1"/>
    </row>
    <row r="43">
      <c r="A43" s="1"/>
      <c r="B43" s="1"/>
      <c r="C43" s="1"/>
      <c r="D43" s="1"/>
      <c r="E43" s="1"/>
      <c r="F43" s="1"/>
      <c r="G43" s="1"/>
      <c r="H43" s="1"/>
    </row>
    <row r="44">
      <c r="A44" s="1"/>
      <c r="B44" s="1"/>
      <c r="C44" s="1"/>
      <c r="D44" s="1"/>
      <c r="E44" s="1"/>
      <c r="F44" s="1"/>
      <c r="G44" s="1"/>
      <c r="H44" s="1"/>
    </row>
    <row r="45">
      <c r="A45" s="1"/>
      <c r="B45" s="1"/>
      <c r="C45" s="1"/>
      <c r="D45" s="1"/>
      <c r="E45" s="1"/>
      <c r="F45" s="1"/>
      <c r="G45" s="1"/>
      <c r="H45" s="1"/>
    </row>
    <row r="46">
      <c r="A46" s="1"/>
      <c r="B46" s="1"/>
      <c r="C46" s="1"/>
      <c r="D46" s="1"/>
      <c r="E46" s="1"/>
      <c r="F46" s="1"/>
      <c r="G46" s="1"/>
      <c r="H46" s="1"/>
    </row>
    <row r="47">
      <c r="A47" s="1"/>
      <c r="B47" s="1"/>
      <c r="C47" s="1"/>
      <c r="D47" s="1"/>
      <c r="E47" s="1"/>
      <c r="F47" s="1"/>
      <c r="G47" s="1"/>
      <c r="H47" s="1"/>
    </row>
    <row r="48">
      <c r="A48" s="1"/>
      <c r="B48" s="1"/>
      <c r="C48" s="1"/>
      <c r="D48" s="1"/>
      <c r="E48" s="1"/>
      <c r="F48" s="1"/>
      <c r="G48" s="1"/>
      <c r="H48" s="1"/>
    </row>
  </sheetData>
  <mergeCells count="19">
    <mergeCell ref="A5:D5"/>
    <mergeCell ref="B6:D6"/>
    <mergeCell ref="B7:D7"/>
    <mergeCell ref="B8:D8"/>
    <mergeCell ref="B9:D9"/>
    <mergeCell ref="B10:D10"/>
    <mergeCell ref="A12:D12"/>
    <mergeCell ref="B13:D13"/>
    <mergeCell ref="B14:D14"/>
    <mergeCell ref="B15:D15"/>
    <mergeCell ref="B16:D16"/>
    <mergeCell ref="B17:D17"/>
    <mergeCell ref="B18:D18"/>
    <mergeCell ref="B19:D19"/>
    <mergeCell ref="A21:D21"/>
    <mergeCell ref="A36:D36"/>
    <mergeCell ref="B37:D37"/>
    <mergeCell ref="B38:D38"/>
    <mergeCell ref="B39:D39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rgb="FFE7E6E6"/>
    <outlinePr applyStyles="0" summaryBelow="1" summaryRight="1" showOutlineSymbols="1"/>
    <pageSetUpPr autoPageBreaks="1" fitToPage="0"/>
  </sheetPr>
  <sheetViews>
    <sheetView showGridLines="0" zoomScale="100" workbookViewId="0">
      <pane ySplit="5" topLeftCell="A6" activePane="bottomLeft" state="frozen"/>
      <selection activeCell="A1" activeCellId="0" sqref="A1"/>
    </sheetView>
  </sheetViews>
  <sheetFormatPr defaultRowHeight="15"/>
  <cols>
    <col customWidth="1" min="1" max="1" width="22"/>
    <col customWidth="1" min="2" max="2" width="28"/>
    <col customWidth="1" min="3" max="3" width="26"/>
    <col customWidth="1" min="4" max="4" width="13"/>
    <col customWidth="1" min="5" max="5" width="32"/>
    <col customWidth="1" min="6" max="6" width="28"/>
    <col customWidth="1" min="7" max="7" width="36"/>
    <col customWidth="1" min="8" max="8" width="14"/>
    <col customWidth="1" min="9" max="9" width="17"/>
    <col customWidth="1" min="10" max="11" width="16"/>
    <col customWidth="1" min="12" max="14" width="18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>
      <c r="A2" s="2" t="s">
        <v>78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>
      <c r="A3" s="3" t="s">
        <v>79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ht="36" customHeight="1">
      <c r="A5" s="47" t="s">
        <v>3</v>
      </c>
      <c r="B5" s="47" t="s">
        <v>4</v>
      </c>
      <c r="C5" s="47" t="s">
        <v>5</v>
      </c>
      <c r="D5" s="47" t="s">
        <v>6</v>
      </c>
      <c r="E5" s="47" t="s">
        <v>7</v>
      </c>
      <c r="F5" s="47" t="s">
        <v>8</v>
      </c>
      <c r="G5" s="47" t="s">
        <v>9</v>
      </c>
      <c r="H5" s="47" t="s">
        <v>10</v>
      </c>
      <c r="I5" s="47" t="s">
        <v>11</v>
      </c>
      <c r="J5" s="47" t="s">
        <v>12</v>
      </c>
      <c r="K5" s="47" t="s">
        <v>13</v>
      </c>
      <c r="L5" s="47" t="s">
        <v>14</v>
      </c>
      <c r="M5" s="47" t="s">
        <v>15</v>
      </c>
      <c r="N5" s="47" t="s">
        <v>80</v>
      </c>
    </row>
    <row r="6" ht="30" customHeight="1">
      <c r="A6" s="9" t="s">
        <v>81</v>
      </c>
      <c r="B6" s="9" t="s">
        <v>82</v>
      </c>
      <c r="C6" s="9" t="s">
        <v>83</v>
      </c>
      <c r="D6" s="51">
        <v>46296.5</v>
      </c>
      <c r="E6" s="9" t="s">
        <v>84</v>
      </c>
      <c r="F6" s="9" t="s">
        <v>85</v>
      </c>
      <c r="G6" s="9" t="s">
        <v>86</v>
      </c>
      <c r="H6" s="12">
        <v>2500</v>
      </c>
      <c r="I6" s="9"/>
      <c r="J6" s="12"/>
      <c r="K6" s="14"/>
      <c r="L6" s="51"/>
      <c r="M6" s="9" t="s">
        <v>87</v>
      </c>
      <c r="N6" s="52" t="s">
        <v>88</v>
      </c>
    </row>
    <row r="7" ht="30" customHeight="1">
      <c r="A7" s="18" t="s">
        <v>89</v>
      </c>
      <c r="B7" s="18" t="s">
        <v>90</v>
      </c>
      <c r="C7" s="18" t="s">
        <v>91</v>
      </c>
      <c r="D7" s="53">
        <v>46300.5</v>
      </c>
      <c r="E7" s="18" t="s">
        <v>92</v>
      </c>
      <c r="F7" s="18" t="s">
        <v>93</v>
      </c>
      <c r="G7" s="18" t="s">
        <v>94</v>
      </c>
      <c r="H7" s="21">
        <v>1880</v>
      </c>
      <c r="I7" s="18" t="s">
        <v>95</v>
      </c>
      <c r="J7" s="21">
        <v>500</v>
      </c>
      <c r="K7" s="23">
        <v>3.7599999999999998</v>
      </c>
      <c r="L7" s="53">
        <v>46300.5</v>
      </c>
      <c r="M7" s="18" t="s">
        <v>96</v>
      </c>
      <c r="N7" s="54" t="s">
        <v>88</v>
      </c>
    </row>
    <row r="8" ht="30" customHeight="1">
      <c r="A8" s="55" t="s">
        <v>97</v>
      </c>
      <c r="B8" s="55" t="s">
        <v>98</v>
      </c>
      <c r="C8" s="55" t="s">
        <v>99</v>
      </c>
      <c r="D8" s="56">
        <v>46303.5</v>
      </c>
      <c r="E8" s="55" t="s">
        <v>100</v>
      </c>
      <c r="F8" s="55" t="s">
        <v>101</v>
      </c>
      <c r="G8" s="55" t="s">
        <v>102</v>
      </c>
      <c r="H8" s="57">
        <v>3200</v>
      </c>
      <c r="I8" s="55"/>
      <c r="J8" s="57"/>
      <c r="K8" s="58"/>
      <c r="L8" s="56"/>
      <c r="M8" s="55"/>
      <c r="N8" s="59" t="s">
        <v>88</v>
      </c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rgb="FFE7E6E6"/>
    <outlinePr applyStyles="0" summaryBelow="1" summaryRight="1" showOutlineSymbols="1"/>
    <pageSetUpPr autoPageBreaks="1" fitToPage="0"/>
  </sheetPr>
  <sheetViews>
    <sheetView showGridLines="0" zoomScale="100" workbookViewId="0">
      <selection activeCell="A1" activeCellId="0" sqref="A1"/>
    </sheetView>
  </sheetViews>
  <sheetFormatPr defaultRowHeight="15"/>
  <cols>
    <col customWidth="1" min="1" max="1" width="8.7799997329711914"/>
    <col customWidth="1" min="2" max="2" width="16"/>
    <col customWidth="1" min="3" max="3" width="20.670000076293945"/>
    <col customWidth="1" min="4" max="4" width="38"/>
    <col customWidth="1" min="6" max="6" width="11.670000076293945"/>
    <col customWidth="1" min="7" max="7" width="19.559999465942383"/>
    <col customWidth="1" min="8" max="8" width="13.109999656677246"/>
    <col customWidth="1" min="9" max="9" width="7.2199997901916504"/>
    <col customWidth="1" min="10" max="10" width="40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>
      <c r="A2" s="2" t="s">
        <v>103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>
      <c r="A3" s="3" t="s">
        <v>104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>
      <c r="A5" s="60" t="s">
        <v>105</v>
      </c>
      <c r="B5" s="61" t="s">
        <v>106</v>
      </c>
      <c r="C5" s="61" t="s">
        <v>107</v>
      </c>
      <c r="D5" s="62" t="s">
        <v>108</v>
      </c>
      <c r="E5" s="1"/>
      <c r="F5" s="60" t="s">
        <v>109</v>
      </c>
      <c r="G5" s="62" t="s">
        <v>110</v>
      </c>
      <c r="H5" s="1"/>
      <c r="I5" s="1"/>
      <c r="J5" s="1"/>
      <c r="K5" s="1"/>
      <c r="L5" s="1"/>
    </row>
    <row r="6">
      <c r="A6" s="63">
        <v>26</v>
      </c>
      <c r="B6" s="64" t="s">
        <v>111</v>
      </c>
      <c r="C6" s="64" t="s">
        <v>112</v>
      </c>
      <c r="D6" s="64" t="s">
        <v>113</v>
      </c>
      <c r="E6" s="1"/>
      <c r="F6" s="65" t="s">
        <v>95</v>
      </c>
      <c r="G6" s="66" t="s">
        <v>94</v>
      </c>
      <c r="H6" s="1"/>
      <c r="I6" s="1"/>
      <c r="J6" s="1"/>
      <c r="K6" s="1"/>
      <c r="L6" s="1"/>
    </row>
    <row r="7">
      <c r="A7" s="67">
        <v>27</v>
      </c>
      <c r="B7" s="68" t="s">
        <v>89</v>
      </c>
      <c r="C7" s="68" t="s">
        <v>114</v>
      </c>
      <c r="D7" s="68" t="s">
        <v>115</v>
      </c>
      <c r="E7" s="1"/>
      <c r="F7" s="1"/>
      <c r="G7" s="1"/>
      <c r="H7" s="1"/>
      <c r="I7" s="1"/>
      <c r="J7" s="1"/>
      <c r="K7" s="1"/>
      <c r="L7" s="1"/>
    </row>
    <row r="8">
      <c r="A8" s="67">
        <v>28</v>
      </c>
      <c r="B8" s="68" t="s">
        <v>97</v>
      </c>
      <c r="C8" s="68" t="s">
        <v>97</v>
      </c>
      <c r="D8" s="68" t="s">
        <v>116</v>
      </c>
      <c r="E8" s="1"/>
      <c r="F8" s="35" t="s">
        <v>117</v>
      </c>
      <c r="G8" s="1"/>
      <c r="H8" s="1"/>
      <c r="I8" s="1"/>
      <c r="J8" s="1"/>
      <c r="K8" s="1"/>
      <c r="L8" s="1"/>
    </row>
    <row r="9">
      <c r="A9" s="67">
        <v>29</v>
      </c>
      <c r="B9" s="68" t="s">
        <v>118</v>
      </c>
      <c r="C9" s="68" t="s">
        <v>118</v>
      </c>
      <c r="D9" s="68" t="s">
        <v>116</v>
      </c>
      <c r="E9" s="1"/>
      <c r="F9" s="69" t="s">
        <v>119</v>
      </c>
      <c r="G9" s="70" t="s">
        <v>120</v>
      </c>
      <c r="H9" s="70" t="s">
        <v>121</v>
      </c>
      <c r="I9" s="70" t="s">
        <v>122</v>
      </c>
      <c r="J9" s="71" t="s">
        <v>123</v>
      </c>
      <c r="K9" s="1"/>
      <c r="L9" s="1"/>
    </row>
    <row r="10">
      <c r="A10" s="67">
        <v>30</v>
      </c>
      <c r="B10" s="68" t="s">
        <v>124</v>
      </c>
      <c r="C10" s="68" t="s">
        <v>124</v>
      </c>
      <c r="D10" s="68" t="s">
        <v>116</v>
      </c>
      <c r="E10" s="1"/>
      <c r="F10" s="72" t="s">
        <v>125</v>
      </c>
      <c r="G10" s="73" t="s">
        <v>126</v>
      </c>
      <c r="H10" s="73" t="s">
        <v>4</v>
      </c>
      <c r="I10" s="73" t="s">
        <v>127</v>
      </c>
      <c r="J10" s="74" t="s">
        <v>128</v>
      </c>
      <c r="K10" s="1"/>
      <c r="L10" s="1"/>
    </row>
    <row r="11">
      <c r="A11" s="67">
        <v>31</v>
      </c>
      <c r="B11" s="68" t="s">
        <v>81</v>
      </c>
      <c r="C11" s="68" t="s">
        <v>129</v>
      </c>
      <c r="D11" s="68" t="s">
        <v>130</v>
      </c>
      <c r="E11" s="1"/>
      <c r="F11" s="75" t="s">
        <v>131</v>
      </c>
      <c r="G11" s="76" t="s">
        <v>126</v>
      </c>
      <c r="H11" s="76" t="s">
        <v>5</v>
      </c>
      <c r="I11" s="76" t="s">
        <v>127</v>
      </c>
      <c r="J11" s="77" t="s">
        <v>132</v>
      </c>
      <c r="K11" s="1"/>
      <c r="L11" s="1"/>
    </row>
    <row r="12">
      <c r="A12" s="78">
        <v>32</v>
      </c>
      <c r="B12" s="79" t="s">
        <v>133</v>
      </c>
      <c r="C12" s="79" t="s">
        <v>134</v>
      </c>
      <c r="D12" s="79" t="s">
        <v>135</v>
      </c>
      <c r="E12" s="1"/>
      <c r="F12" s="80" t="s">
        <v>73</v>
      </c>
      <c r="G12" s="81" t="s">
        <v>136</v>
      </c>
      <c r="H12" s="81" t="s">
        <v>8</v>
      </c>
      <c r="I12" s="81" t="s">
        <v>127</v>
      </c>
      <c r="J12" s="82" t="s">
        <v>137</v>
      </c>
      <c r="K12" s="1"/>
      <c r="L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</sheetData>
  <mergeCells count="1">
    <mergeCell ref="F8:J8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